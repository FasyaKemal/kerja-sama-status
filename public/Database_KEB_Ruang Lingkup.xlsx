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kemalfasya/Downloads/"/>
    </mc:Choice>
  </mc:AlternateContent>
  <xr:revisionPtr revIDLastSave="0" documentId="8_{033F6270-D8E1-FB4E-B6A8-8A9903FB9AF8}" xr6:coauthVersionLast="47" xr6:coauthVersionMax="47" xr10:uidLastSave="{00000000-0000-0000-0000-000000000000}"/>
  <bookViews>
    <workbookView xWindow="0" yWindow="500" windowWidth="28400" windowHeight="17100" xr2:uid="{00000000-000D-0000-FFFF-FFFF00000000}"/>
  </bookViews>
  <sheets>
    <sheet name="Per Aktivitas" sheetId="1" r:id="rId1"/>
    <sheet name="Ringkasan" sheetId="2" r:id="rId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1" i="1" l="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7" i="1"/>
  <c r="Q56" i="1"/>
  <c r="Q55" i="1"/>
  <c r="Q53" i="1"/>
  <c r="Q52" i="1"/>
  <c r="Q51" i="1"/>
  <c r="Q50" i="1"/>
  <c r="Q48" i="1"/>
  <c r="Q47" i="1"/>
  <c r="Q46" i="1"/>
  <c r="Q45" i="1"/>
  <c r="Q44" i="1"/>
  <c r="Q43" i="1"/>
  <c r="Q42" i="1"/>
  <c r="Q41" i="1"/>
  <c r="Q40" i="1"/>
  <c r="Q39" i="1"/>
  <c r="Q37" i="1"/>
  <c r="Q36" i="1"/>
  <c r="Q35" i="1"/>
  <c r="Q34" i="1"/>
  <c r="Q30" i="1"/>
  <c r="Q28" i="1"/>
  <c r="Q27" i="1"/>
  <c r="Q26" i="1"/>
  <c r="Q25" i="1"/>
  <c r="Q24" i="1"/>
  <c r="Q23" i="1"/>
  <c r="Q21" i="1"/>
  <c r="Q20" i="1"/>
  <c r="Q19" i="1"/>
  <c r="Q18" i="1"/>
  <c r="Q17" i="1"/>
  <c r="Q16" i="1"/>
  <c r="Q15" i="1"/>
  <c r="Q14" i="1"/>
  <c r="Q13" i="1"/>
  <c r="Q12" i="1"/>
  <c r="Q11" i="1"/>
  <c r="Q10" i="1"/>
  <c r="Q9" i="1"/>
  <c r="Q8" i="1"/>
  <c r="Q7" i="1"/>
  <c r="Q6" i="1"/>
  <c r="Q5" i="1"/>
  <c r="Q4" i="1"/>
  <c r="Q3" i="1"/>
</calcChain>
</file>

<file path=xl/sharedStrings.xml><?xml version="1.0" encoding="utf-8"?>
<sst xmlns="http://schemas.openxmlformats.org/spreadsheetml/2006/main" count="3255" uniqueCount="1693">
  <si>
    <t>No</t>
  </si>
  <si>
    <t>Tahun</t>
  </si>
  <si>
    <t>Kategori Mitra</t>
  </si>
  <si>
    <t>Mitra Kerja Sama</t>
  </si>
  <si>
    <t>Jenis Kerja Sama</t>
  </si>
  <si>
    <t>Penandatangan KKP/Pihak 1</t>
  </si>
  <si>
    <t>Nomor KKP/Pihak 1</t>
  </si>
  <si>
    <t>Penandatangan Mitra/Pihak 2</t>
  </si>
  <si>
    <t>Nomor Mitra/Pihak 2</t>
  </si>
  <si>
    <t>Masa Berlaku (Tahun)</t>
  </si>
  <si>
    <t>Mulai</t>
  </si>
  <si>
    <t>Berlaku Hingga</t>
  </si>
  <si>
    <t>Status</t>
  </si>
  <si>
    <t>Jumlah Ruang Lingkup</t>
  </si>
  <si>
    <t>Ruang Lingkup (dengan Kode KEB)</t>
  </si>
  <si>
    <t>Kode KEB per Poin</t>
  </si>
  <si>
    <t>Link Dokumen</t>
  </si>
  <si>
    <t>URL Dokumen</t>
  </si>
  <si>
    <t>2025</t>
  </si>
  <si>
    <t>Universitas</t>
  </si>
  <si>
    <t>Institut Teknologi Bandung</t>
  </si>
  <si>
    <t>Kesepakatan Bersama</t>
  </si>
  <si>
    <t>MKP</t>
  </si>
  <si>
    <t>10/MEN-KP/KB/XI/2025</t>
  </si>
  <si>
    <t>Rektor ITB</t>
  </si>
  <si>
    <t>85/IT1.A/KS.00/2025</t>
  </si>
  <si>
    <t>5</t>
  </si>
  <si>
    <t>2025-11-28</t>
  </si>
  <si>
    <t>2030-11-28</t>
  </si>
  <si>
    <t>Berlaku</t>
  </si>
  <si>
    <t>1. Peningkatan dan pengembangan kapasitas sumber daya manusia kelautan dan perikanan berbasis ekonomi biru (KEB 2)
2. Pengembangan, penerapan, dan pemanfaatan hasil penelitian kelautan dan perikanan berbasis ekonomi biru (KEB 3)
3. Peningkatan penerapan ilmu pengetahuan dan teknologi untuk pengelolaan kelautan dan perikanan berbasis ekonomi biru (KEB 3)
4. Pengembangan perencanaan wilayah dalam mendukung ekonomi biru (KEB 1)
5. Pemberdayaan masyarakat yang mendukung ekonomi biru (KEB 4)
6. Penyelenggaraan pendidikan program magister dan/atau doktor (KEB 6)</t>
  </si>
  <si>
    <t>1. 2
2. 3
3. 3
4. 1
5. 4
6. 6</t>
  </si>
  <si>
    <t>https://drive.google.com/file/d/1Be8XDkcHQfNkF0GMRfjZgO_56e-Fvg_u/view?usp=drive_link</t>
  </si>
  <si>
    <t>K/L</t>
  </si>
  <si>
    <t>Badan Standardisasi Nasional</t>
  </si>
  <si>
    <t>Nota Kesepahaman</t>
  </si>
  <si>
    <t>09/MEN-KP/NK/XI/2025</t>
  </si>
  <si>
    <t>Plt. Kepala BSN</t>
  </si>
  <si>
    <t>004/BSN/MOU/XI/2025</t>
  </si>
  <si>
    <t>4</t>
  </si>
  <si>
    <t>2025-11-26</t>
  </si>
  <si>
    <t>2029-11-26</t>
  </si>
  <si>
    <t>1. Pengembangan standardisasi dan penilaian kesesuaian di bidang kelautan dan perikanan (KEB 1)
2. Diseminasi standar dan penilaian kesesuaian di bidang kelautan dan perikanan (KEB 4)
3. Pengembangan kompetensi sumber daya manusia (KEB 3)
4. Pendampingan penerapan standar dan penilaian kesesuaian di bidang kelautan dan perikanan (KEB 4)
5. Berbagi pakai data dan/atau informasi (KEB 6)</t>
  </si>
  <si>
    <t>1. 1
2. 4
3. 3
4. 4
5. 6</t>
  </si>
  <si>
    <t>https://drive.google.com/file/d/1c1neMHCkGKo3ElwnWvMpRvoF2S6CGV9k/view?usp=drive_link</t>
  </si>
  <si>
    <t>Kementerian Imigrasi dan Pemasyarakatan</t>
  </si>
  <si>
    <t>Menteri Imigrasi dan Pemasyarkatan</t>
  </si>
  <si>
    <t>MIP-HK.01.05-82 TAHUN 2025</t>
  </si>
  <si>
    <t>08/MEN-KP/NK/XI/2025</t>
  </si>
  <si>
    <t>2025-05-11</t>
  </si>
  <si>
    <t>2030-05-11</t>
  </si>
  <si>
    <t>1. Pertukaran dan pemanfaatan data dan informasi sesuai dengan ketentuan peraturan dan perundang undangan (KEB 6)
2. Peningkatan dan pengembangan kapasitas sumber daya manusia sesuai tugas, fungsi dan wewenang para pihak (KEB 2)
3. Pengawasan keimigrasian dan sumber daya kelautan dan perikanan (KEB 4)
4. Dukungan pembinaan kemandirian warga binaan di bidang kelautan dan perikanan (KEB 6)
5. Pemanfaatan sarana dan prasarana para pihak (KEB 6)
6. Pelaksanaan bidang kerja sama lain yang disepakati para pihak (KEB 6)</t>
  </si>
  <si>
    <t>1. 6
2. 2
3. 4
4. 6
5. 6
6. 6</t>
  </si>
  <si>
    <t>https://drive.google.com/file/d/14gosnafOvjxiJCiYE0FD_iV198DSNeI7/view?usp=drive_link</t>
  </si>
  <si>
    <t>Pusat Hidro-Oseanografi TNI AL</t>
  </si>
  <si>
    <t>Perjanjian Kerja Sama</t>
  </si>
  <si>
    <t>Sekjen KKP</t>
  </si>
  <si>
    <t>04/SJ/KKP/PKS/X/2025</t>
  </si>
  <si>
    <t>Komandan Pushidrosal</t>
  </si>
  <si>
    <t>PKS/45/X/2025</t>
  </si>
  <si>
    <t>3</t>
  </si>
  <si>
    <t>10/15/2025</t>
  </si>
  <si>
    <t>10/15/2028</t>
  </si>
  <si>
    <t>1. Berbagi pakai data dan/atau informasi geospasial kelautan dan perikanan serta data dan/atau informasi hidro-oseanografi (KEB 6)
2. Asistensi dan dukungan teknis, survey dan/atau pemetaan hidro-oseanografi (KEB 4)
3. Pengembangan kapasitas sumber daya manusia (KEB 3)
4. Sosialisasi dan publikasi hasil kegiatan bersama para pihak (KEB 6)</t>
  </si>
  <si>
    <t>1. 6
2. 4
3. 3
4. 6</t>
  </si>
  <si>
    <t>https://drive.google.com/file/d/1ED-jcYNfB0kt_urISShxjGexYNEm25h8/view?usp=drive_link</t>
  </si>
  <si>
    <t>Kementerian Agama</t>
  </si>
  <si>
    <t>Menteri Agama</t>
  </si>
  <si>
    <t>Nomor 23 Tahun 2025</t>
  </si>
  <si>
    <t>06/MEN-KP/NK/VIII/2025</t>
  </si>
  <si>
    <t>08/19/2025</t>
  </si>
  <si>
    <t>08/19/2030</t>
  </si>
  <si>
    <t>1. Pemberdayaan masyarakat dan ekonomi umat (KEB 6)
2. Sosialisasi, edukasi, dan diseminasi kebijakan (KEB 6)
3. Peningkatan kapasitas sumber daya manusia (KEB 2)
4. Pertukaran dan/atau pemanfaatan data dan informasi (KEB 6)
5. Kerja sama lain yang disepakati para pihak (KEB 6)</t>
  </si>
  <si>
    <t>1. 6
2. 6
3. 2
4. 6
5. 6</t>
  </si>
  <si>
    <t>https://drive.google.com/file/d/12iVcE-__vZh_bENOSeHmbYz0V7RQWN71/view?usp=drive_link</t>
  </si>
  <si>
    <t>Kementerian Hukum</t>
  </si>
  <si>
    <t>Menteri Hukum</t>
  </si>
  <si>
    <t>M.HH-31.HH.04.05 Tahun 2025</t>
  </si>
  <si>
    <t>07/MEN-KP/NK/IX/2025</t>
  </si>
  <si>
    <t>2025-11-09</t>
  </si>
  <si>
    <t>2030-11-09</t>
  </si>
  <si>
    <t>1. Berbagi pakai data dan informasi (KEB 6)
2. Pembentukan peraturan perundang-undangan (KEB 6)
3. Pelaksanaan pembinaan hukum (KEB 6)
4. Penyelenggaraan di bidang kekayaan intelektual (KEB 6)
5. Peningkatan dan pengembangan sumber daya manusia (KEB 2)</t>
  </si>
  <si>
    <t>1. 6
2. 6
3. 6
4. 6
5. 2</t>
  </si>
  <si>
    <t>https://drive.google.com/file/d/1pHy-anVrzOQVGe3J7jW-ualmhEIcXgOd/view?usp=drive_link</t>
  </si>
  <si>
    <t>Kementerian Pekerjaan Umum</t>
  </si>
  <si>
    <t>04/MEN-KP/KB/VIII/2025</t>
  </si>
  <si>
    <t>Menteri Pekerjaan Umum</t>
  </si>
  <si>
    <t>11/PKS/M/2025</t>
  </si>
  <si>
    <t>2025-08-06</t>
  </si>
  <si>
    <t>2030-08-06</t>
  </si>
  <si>
    <t>1. Sinkronisasi penyelenggaraan dukungan infrastruktur pekerjaan umum dalam mendukung pembangunan dan/atau pengembangan sektor kelautan dan perikanan (KEB 2)
2. Pembangunan dan/atau pengembangan infrastruktur sektor pekerjaan umum dalam mendukung pembangunan dan/atau pengembangan sektor kelautan dan perikanan serta penataan kawasan pesisir (KEB 4)
3. Berbagi pakai data dan informasi (KEB 6)
4. Peningkatan kapasitas sumber daya manusia (KEB 2)</t>
  </si>
  <si>
    <t>1. 2
2. 4
3. 6
4. 2</t>
  </si>
  <si>
    <t>https://drive.google.com/file/d/12jQfYjpJvm6oPBZQv83CNsC9u9B1ZQt0/view?usp=drive_link</t>
  </si>
  <si>
    <t>Pemda</t>
  </si>
  <si>
    <t>Pemprov DKI</t>
  </si>
  <si>
    <t>Nota Kesepakatan</t>
  </si>
  <si>
    <t>04/MEN-KP/NK/VIII/2025</t>
  </si>
  <si>
    <t>Gubernur DKI</t>
  </si>
  <si>
    <t>22 TAHUN 2025</t>
  </si>
  <si>
    <t>1. Peningkatan pengelolaan kelautan yang berkelanjutan (KEB 4)
2. Penyelenggaraan penataan ruang laut (KEB 1)
3. Peningkatan pengelolaan perikanan tangkap yang berkelanjutan (KEB 2)
4. Peningkatan pengelolaan perikanan budi daya yang berkelanjutan (KEB 3)
5. Penguatan pengolahan, pemasaran, dan pengembangan usaha kelautan dan perikanan (KEB 4)
6. Pengawasan sumber daya kelautan dan perikanan (KEB 4)
7. Peningkatan kapasitas sumber daya manusia kelautan dan perikanan (KEB 2)
8. Penyadartahuan mutu dan kualitas produk kelautan dan perikanan (KEB 3)
9. Berbagi pakai data dan/atau informasi sesuai ketentuan peraturan perundang-undangan (KEB 6)</t>
  </si>
  <si>
    <t>1. 4
2. 1
3. 2
4. 3
5. 4
6. 4
7. 2
8. 3
9. 6</t>
  </si>
  <si>
    <t>https://drive.google.com/file/d/1UtW3BKaKvP69DKu12O52W8IHXs5YS66t/view?usp=drive_link</t>
  </si>
  <si>
    <t>Pemprov Bali</t>
  </si>
  <si>
    <t>03/MEN-KP/NK/VI/2025</t>
  </si>
  <si>
    <t>Gubernur Bali</t>
  </si>
  <si>
    <t>B.36.100.3.7/38760/KS/B.PEM.KESRA</t>
  </si>
  <si>
    <t>1. Peningkatan pengelolaan kelautan yang berkelanjutan (KEB 4)
2. Penyelenggaraan penataan ruang laut (KEB 1)
3. Peningkatan pengelolaan perikanan tangkap yang berkelanjutan (KEB 2)
4. Peningkatan pengelolaan perikanan budi daya yang berkelanjutan (KEB 3)
5. Penguatan pengolahan, pemasaran, dan pengembangan usaha kelautan dan perikanan (KEB 4)
6. Pengawasan sumber daya kelautan dan perikanan (KEB 4)
7. Peningkatan kapasitas sumber daya manusia kelautan dan perikanan (KEB 2)
8. Penyadartahuan mutu dan kualitas produk kelautan dan perikanan (KEB 3)
9. Berbagi pakai data dan/atau informasi (KEB 6)</t>
  </si>
  <si>
    <t>https://drive.google.com/file/d/1sPcUvsLALRV-cVSdFpAFZou1HF8HRdPg/view?usp=drive_link</t>
  </si>
  <si>
    <t>Ormas</t>
  </si>
  <si>
    <t>Asosiasi Pengusaha Bumiputera Nusantara Indonesia</t>
  </si>
  <si>
    <t>05/MEN-KP/NK/VIII/2025</t>
  </si>
  <si>
    <t>Ketua Umum Asosiasi</t>
  </si>
  <si>
    <t>68/DPP/ASPRINDO/VII/2025</t>
  </si>
  <si>
    <t>2025-08-08</t>
  </si>
  <si>
    <t>2030-08-08</t>
  </si>
  <si>
    <t>1. Pengembangan hilirisasi produk perikanan dan kelautan (KEB 3)
2. Dukungan pembangunan sektor kelautan dan perikanan yang berkelanjutan (KEB 4)
3. Penguatan kapasitas sumber daya manusia sektor kelautan dan perikanan (KEB 3)
4. Dukungan pemberdayaan masyarakat kelautan dan perikanan (KEB 4)
5. Pengembangan model bisnis berbasis ekonomi biru dan rantai pasok berkelanjutan (KEB 4)
6. Dukungan penyerapan tenaga kerja sektor kelautan dan perikanan (KEB 3)</t>
  </si>
  <si>
    <t>1. 3
2. 4
3. 3
4. 4
5. 4
6. 3</t>
  </si>
  <si>
    <t>https://drive.google.com/file/d/1eACYiceIFGHBYCViN19AcHk5Etr0IHPL/view?usp=drive_link</t>
  </si>
  <si>
    <t>Swasta</t>
  </si>
  <si>
    <t>PT. Jatim Grha Utama</t>
  </si>
  <si>
    <t>02/SJ/KKP/PKS/VII/2025</t>
  </si>
  <si>
    <t>Direktur PT JGU</t>
  </si>
  <si>
    <t>008/PKS-JGU/VII/2025</t>
  </si>
  <si>
    <t>30</t>
  </si>
  <si>
    <t>2025-07-04</t>
  </si>
  <si>
    <t>2055-07-04</t>
  </si>
  <si>
    <t>1. Pembangunan, pengoperasian, dan pemeliharaan fasilitas, sarana dan prasarana bidang kelautan dan perikanan (KEB 2)
2. Pemberdayaan nelayan kecil dan pembudidaya ikan kecil (KEB 3)
3. Pengendalian dan pengawasan mutu dan keamanan hasil kelautan dan perikanan (KEB 3)
4. Pengolahan dan pemasaran hasil kelautan dan perikanan (KEB 3)
5. Pengawasan sumber daya kelautan dan perikanan (KEB 4)</t>
  </si>
  <si>
    <t>1. 2
2. 3
3. 3
4. 3
5. 4</t>
  </si>
  <si>
    <t>https://drive.google.com/file/d/11MoEF9t_a8KuUAE1tINpYOx7I_wq0SoT/view?usp=drive_link</t>
  </si>
  <si>
    <t>Direktorat Jenderal Anggaran</t>
  </si>
  <si>
    <t>Direktur Jenderal Anggaran</t>
  </si>
  <si>
    <t>PRJ-1/AG/2025</t>
  </si>
  <si>
    <t>03/SJ/KKP/PKS/VII/2025</t>
  </si>
  <si>
    <t>07/15/2025</t>
  </si>
  <si>
    <t>07/15/2030</t>
  </si>
  <si>
    <t>1. Pengembangan dashboard terpadu (KEB 4)
2. Pengaliran data dan utilisasi data (KEB 6)
3. Pengembangan sistem dan penyesuaian proses bisnis (KEB 6)
4. Pemanfaatan informasi untuk kegiatan monitoring, evaluasi, dan pengawasan (KEB 4)</t>
  </si>
  <si>
    <t>1. 4
2. 6
3. 6
4. 4</t>
  </si>
  <si>
    <t>https://drive.google.com/file/d/1c_i6-xoWkdwnKsL2gcxTZl-5IhYwQjbw/view?usp=drive_link</t>
  </si>
  <si>
    <t>Pemprov Jawa Barat</t>
  </si>
  <si>
    <t>02/MEN-KP/NK/VI/2025</t>
  </si>
  <si>
    <t>Gubernur Jawa Barat</t>
  </si>
  <si>
    <t>36/DG.02.02.01/PEMOTDA</t>
  </si>
  <si>
    <t>06/25/2025</t>
  </si>
  <si>
    <t>06/25/2030</t>
  </si>
  <si>
    <t>1. Pemanfaatan kawasan pengelolaan kelautan dan perikanan (KEB 1)
2. Peningkatan pengelolaan kelautan dan konservasi (KEB 1)
3. Peningkatan pengelolaan perikanan tangkap yang berkelanjutan (KEB 2)
4. Peningkatan pengelolaan perikanan budi daya yang berkelanjutan (KEB 3)
5. Penguatan pengolahan, pemasaran, dan pengembangan usaha kelautan dan perikanan (KEB 3)
6. Pengawasan sumber daya kelautan dan perikanan (KEB 4)
7. Peningkatan kapasitas sumber daya manusia kelautan dan perikanan (KEB 2)
8. Penyadartahuan mutu dan kualitas produk kelautan dan perikanan (KEB 3)
9. Berbagi pakai data dan/atau informasi (KEB 6)</t>
  </si>
  <si>
    <t>1. 1
2. 1
3. 2
4. 3
5. 3
6. 4
7. 2
8. 3
9. 6</t>
  </si>
  <si>
    <t>https://drive.google.com/file/d/1O9mwuTVFIbdayhljTrIDYRkgosvlfbpr/view?usp=drive_link</t>
  </si>
  <si>
    <t>Pemkab Bekasi</t>
  </si>
  <si>
    <t>Dirjen PB</t>
  </si>
  <si>
    <t>04/DJPB/KKP/NK/VI/2025</t>
  </si>
  <si>
    <t>Bupati Bekasi</t>
  </si>
  <si>
    <t>100.3.7.1/91/DISKAN/2025</t>
  </si>
  <si>
    <t>2025-06-25</t>
  </si>
  <si>
    <t>2030-06-25</t>
  </si>
  <si>
    <t>1. Peningkatan produksi komoditas unggulan perikanan budi daya (KEB 3)
2. Pengembangan dan penerapan teknologi perikanan budi daya (KEB 3)
3. Pemberdayaan masyarakat di bidang perikanan budi daya (KEB 3)</t>
  </si>
  <si>
    <t>1. 3
2. 3
3. 3</t>
  </si>
  <si>
    <t>https://drive.google.com/file/d/1yFOr8phQ1yoq8u_Pc9Q06SbaetUcS2PL/view?usp=drive_link</t>
  </si>
  <si>
    <t>Pemkab Karawang</t>
  </si>
  <si>
    <t>02/DJPB/KKP/NK/VI/2025</t>
  </si>
  <si>
    <t>Bupati Karawang</t>
  </si>
  <si>
    <t>100.2.2/1618/KD</t>
  </si>
  <si>
    <t>2025-06-26</t>
  </si>
  <si>
    <t>2030-06-26</t>
  </si>
  <si>
    <t>https://drive.google.com/file/d/1inYJlnvmi20SrNJ9p2Tb482pvMnJhM7X/view?usp=drive_link</t>
  </si>
  <si>
    <t>Pemkab Subang</t>
  </si>
  <si>
    <t>03/DJPB/KKP/NK/VI/2025</t>
  </si>
  <si>
    <t>Bupati Subang</t>
  </si>
  <si>
    <t>Hm.03/NK.40-KSD/2025</t>
  </si>
  <si>
    <t>2025-06-27</t>
  </si>
  <si>
    <t>2030-06-27</t>
  </si>
  <si>
    <t>https://drive.google.com/file/d/1f1YgU1Hh81WXEggwuCF4ZM8_fgIg7sy0/view?usp=drive_link</t>
  </si>
  <si>
    <t>Pemkab Indramayu</t>
  </si>
  <si>
    <t>01/DJPB/KKP/NK/VI/2025</t>
  </si>
  <si>
    <t>Bupati Indramayu</t>
  </si>
  <si>
    <t>100.3.7.1/NK.02/TAPEM/2025</t>
  </si>
  <si>
    <t>2025-06-28</t>
  </si>
  <si>
    <t>2030-06-28</t>
  </si>
  <si>
    <t>https://drive.google.com/file/d/1h0sJ4g4k8V8Vq63kkpeo5Hakwiwpepn5/view?usp=drive_link</t>
  </si>
  <si>
    <t>Perkumpulan Prakarsa Laut Berkelanjutan dan Berkeadilan Indonesia</t>
  </si>
  <si>
    <t>CEO Perkumpulan Prakarsa Laut Berkelanjutan dan Berkeadilan Indonesia</t>
  </si>
  <si>
    <t>LEM.003.05/IOJI/VI/2025</t>
  </si>
  <si>
    <t>2025-06-05</t>
  </si>
  <si>
    <t>2030-05-06</t>
  </si>
  <si>
    <t>1. Pengembangan safeguard instrument untuk penyelenggaraan nilai ekonomi karbon di sektor kelautan (KEB 1)
2. Dukungan pada peningkatan transparansi di bidang perikanan tangkap (KEB 2)
3. Dukungan pengawasan sumber daya kelautan dan perikanan (KEB 4)
4. Dukungan terhadap pembentukan peraturan perundang-undangan di bidang kelautan dan perikanan (KEB 2)</t>
  </si>
  <si>
    <t>1. 1
2. 2
3. 4
4. 2</t>
  </si>
  <si>
    <t>https://drive.google.com/file/d/1pFoCGTDIO3zNnbuFTi5hO1UHAGAiOJkh/view?usp=sharing</t>
  </si>
  <si>
    <t>BUMN</t>
  </si>
  <si>
    <t>PT Bank Negara Indonesia (PERSERO) Tbk</t>
  </si>
  <si>
    <t>01/SJ/KKP/PKS/VI/2025</t>
  </si>
  <si>
    <t>Drektur Consumer Banking PT Bank Negara Indonesia (PERSERO) Tbk</t>
  </si>
  <si>
    <t>DIR/409.1</t>
  </si>
  <si>
    <t>2025-06-02</t>
  </si>
  <si>
    <t>2028-02-06</t>
  </si>
  <si>
    <t>1. Penyediaan layanan BNI direct cash (KEB 6)
2. Penyediaan layanan pembayaran gaji dan/atau tunjangan kinerja pegawai (KEB 6)
3. Penyaluran fasilitas kredit konsumer kepada pegawai (KEB 6)
4. Penerbitan dan Pengelolaan KMF pegawai (KEB 6)</t>
  </si>
  <si>
    <t>1. 6
2. 6
3. 6
4. 6</t>
  </si>
  <si>
    <t>https://drive.google.com/file/d/1misbFUIptXm-PlaqrGmjQ2egsfzY_1g9/view?usp=drive_link</t>
  </si>
  <si>
    <t>Badan Gizi Nasional</t>
  </si>
  <si>
    <t>Kepala BGN</t>
  </si>
  <si>
    <t>Tidak ada link</t>
  </si>
  <si>
    <t>Kementerian Lingkungan Hidup</t>
  </si>
  <si>
    <t>05/MEN-KP/KB/VIII/2025</t>
  </si>
  <si>
    <t>Menteri KLH</t>
  </si>
  <si>
    <t>PKS.26/A/C/KUM.2.2/B/08/2025</t>
  </si>
  <si>
    <t>1. Koordinasi dalam perumusan pedoman dan implementasi kebijakan bersama di bidang perikanan, penataan ruang laut, pengelolaan kelautan, dan pelindungan lingkungan laut, serta lingkungan hidup (KEB 4)
2. Pengawasan, penanganan pelanggaran, dan/atau penegakan hukum bersama (KEB 4)
3. Peningkatan kompetensi sumber daya manusia (KEB 2)
4. Berbagi pakai data dan/atau informasi (KEB 6)</t>
  </si>
  <si>
    <t>1. 4
2. 4
3. 2
4. 6</t>
  </si>
  <si>
    <t>https://drive.google.com/file/d/1vSgxwPQNsLALVrLMX5Ss_0vWqZiHB3uk/view?usp=drive_link</t>
  </si>
  <si>
    <t>Kementerian Pemberdayaan Perempuan dan Perlindungan Anak</t>
  </si>
  <si>
    <t>02/MEN-KP/KB/IV/2025</t>
  </si>
  <si>
    <t>Menteri KPPPA</t>
  </si>
  <si>
    <t>022/Men/KL.01/04/2025</t>
  </si>
  <si>
    <t>2025-04-21</t>
  </si>
  <si>
    <t>2030-04-21</t>
  </si>
  <si>
    <t>1. Koordinasi dan sinkronisasi upaya penguatan penyelenggaraan pengarusutamaan gender, pemberdayaan perempuan, dan perlindungan anak di bidang kelautan dan perikanan di pusat dan daerah (KEB 3)
2. Berbagi pakai data dan/atau informasi (KEB 6)
3. Peningkatan kapasitas sumber daya manusia dalaam penyelenggaraan pengarusutamaan gender, peningkatan kewirausahaan perempuan, peningkatan peran ibu dan keluarga dalam pengasuhan anak, perlindungan perempuan dan anak dari kekerasan, pencegahan pekerja anak dan perkawinan usia anak di wilayah pesisir pantai (KEB 3)
4. Peningkatan pemberdayaan ekonomi masyarakat kelautan dan perikanan yang responsif gender (KEB 3)
5. Kajian di bidang kelautan dan perikanan yang responsif gender dan peduli hak anak (KEB 3)</t>
  </si>
  <si>
    <t>1. 3
2. 6
3. 3
4. 3
5. 3</t>
  </si>
  <si>
    <t>https://drive.google.com/file/d/1u5MneTNMfSlymbAV5lcyUzuXqt0pfbf7/view?usp=drive_link</t>
  </si>
  <si>
    <t>PP Muhammadiyah</t>
  </si>
  <si>
    <t>01/MEN-KP/NK/III/2025</t>
  </si>
  <si>
    <t>Ketua Umum PP Muhammadiyah</t>
  </si>
  <si>
    <t>051/I.0/A/2025</t>
  </si>
  <si>
    <t>2025-03-06</t>
  </si>
  <si>
    <t>2030-03-06</t>
  </si>
  <si>
    <t>1. Pengembangan kampung nelayan modern (KEB 2)
2. Pengembangan kampung perikanan budidaya (KEB 3)
3. Pengembangan usaha garam rakyat (KEB 4)
4. Pengembangan kapasitas sumber daya manusia (KEB 3)
5. Pengelolaan sampah laut (KEB 5)
6. Restorasi dan rehabilitasi ekosistem pesisir (KEB 4)
7. Pemberdayaan masyarakat di pesisir dan pulau-pulau kecil (KEB 4)
8. Penguatan daya saing produk kelautan dan perikanan berkelanjutan (KEB 4)
9. Penguatan promosi konsumsi protein ikan (KEB 4)</t>
  </si>
  <si>
    <t>1. 2
2. 3
3. 4
4. 3
5. 5
6. 4
7. 4
8. 4
9. 4</t>
  </si>
  <si>
    <t>https://drive.google.com/file/d/1pleqV9cvj6av4JmghUkd-56CaAcXuDuA/view?usp=drive_link</t>
  </si>
  <si>
    <t>Universitas Muslim Indonesia</t>
  </si>
  <si>
    <t>01/SJ/KKP/KB/II/2025</t>
  </si>
  <si>
    <t>Rektor UMI</t>
  </si>
  <si>
    <t>0503/C.06/UMI/II/2025</t>
  </si>
  <si>
    <t>2025-02-24</t>
  </si>
  <si>
    <t>2028-02-24</t>
  </si>
  <si>
    <t>1. Peningkatan dan pengembangan kapasitas sumber daya manusia kelautan dan perikanan (KEB 3)
2. Pengembangan dan penerapan hasil penelitian kelautan dan perikanan (KEB 3)
3. Peningkatan penerapan ilmu pengetahuan dan teknologi untuk pengelolaan kelautan dan perikanan (KEB 3)
4. Pemberdayaan masyarakat dalam pengelolaan kelautan dan perikanan (KEB 3)</t>
  </si>
  <si>
    <t>1. 3
2. 3
3. 3
4. 3</t>
  </si>
  <si>
    <t>https://drive.google.com/file/d/1EQdaqQidTCyiCOwZo67bUi5Yv8pGzF6s/view?usp=drive_link</t>
  </si>
  <si>
    <t>Kementerian Pelindungan Pekerja Migran Indonesia</t>
  </si>
  <si>
    <t>01/MEN-KP/KB/I/2025</t>
  </si>
  <si>
    <t>Menteri KP2MI/BP2MI</t>
  </si>
  <si>
    <t>MoU.2/02.01/KS.01/I/2025</t>
  </si>
  <si>
    <t>2025-01-20</t>
  </si>
  <si>
    <t>2030-01-20</t>
  </si>
  <si>
    <t>1. Perencanaan dan pemgembangan pekerja Migran Indonesia di sektor kelautan dan perikanan (KEB 3)
2. Pelayanan dalam rangka pemenuhan syarat penempatan pekerja migran Indonesia sektor kelautan dan perikanan (KEB 3)
3. Perlindungan pekerja migran Indonesia sektor kelautan dan perikanan (KEB 3)
4. Pengawasan dan pembinaan  pekerja Migran Indonesia di sektor kelautan dan perikanan (KEB 3)
5. Peningkatan kompetensi dan kapasitas sumber daya manusia (KEB 3)
6. Perluasan dan pengembangan kesempatan kerja (KEB 3)
7. Berbagi pakai data dan/atau informasi (KEB 6)</t>
  </si>
  <si>
    <t>1. 3
2. 3
3. 3
4. 3
5. 3
6. 3
7. 6</t>
  </si>
  <si>
    <t>https://drive.google.com/file/d/111e7PiUjnim182fvuFnySxeJzqn285B9/view?usp=drive_link</t>
  </si>
  <si>
    <t>Ormas Asing</t>
  </si>
  <si>
    <t>RARE</t>
  </si>
  <si>
    <t>Memorandum Saling Pengertian</t>
  </si>
  <si>
    <t>0</t>
  </si>
  <si>
    <t>Vise President RARE</t>
  </si>
  <si>
    <t>2025-01-13</t>
  </si>
  <si>
    <t>1. Peningkatan kapasitas sumber daya manusia dalam pengelolaan ekosistem pesisir dan pulau – pulau kecil serta sumber daya kelautan dan perikanan yang berkelanjutan (KEB 3)</t>
  </si>
  <si>
    <t>1. 3</t>
  </si>
  <si>
    <t>https://drive.google.com/file/d/1yBLZXXGS19gMVkoLOxUqxOgD_VrQFzyY/view?usp=drive_link</t>
  </si>
  <si>
    <t>1. Penguatan tata kelola wilayah perairan pesisir dan daerah penangkapan ikan (KEB 2)
2. Peningkatan efektivitas tata kelola ekosistem pesisir dan pulau-pulau kecil, serta sumber daya kelautan dan perikanan (KEB 4)
3. Penguatan ketahanan sosial ekonomi dan ekologi melalui pengelolaan ekosistem pesisir dan pulau-pulau kecil, serta sumber daya kelautan dan perikanan (KEB 4)
4. Pemberdayaan ekonomi masyarakat pesisir dan nelayan skala kecil (KEB 2)</t>
  </si>
  <si>
    <t>1. 2
2. 4
3. 4
4. 2</t>
  </si>
  <si>
    <t>2024</t>
  </si>
  <si>
    <t>Badan Karantina Indonesia</t>
  </si>
  <si>
    <t>11/MEN-KP/KB/IV/2024</t>
  </si>
  <si>
    <t>Ka Badan Karantina Indonesia</t>
  </si>
  <si>
    <t>3292/HK.220/A/4/2024</t>
  </si>
  <si>
    <t>4/29/2024</t>
  </si>
  <si>
    <t>4/29/2029</t>
  </si>
  <si>
    <t>1. Pelaksanaan pengawasan dan/atau pengendalian hama penyakit ikan karantina dan penyakit ikan berbahaya lainnya (KEB 3)</t>
  </si>
  <si>
    <t>https://drive.google.com/file/d/1TYBodEzBMyVgwHgL2cl6NTE9l5TjA6d5/view?usp=drive_link</t>
  </si>
  <si>
    <t>1. Pelaksanaan pengawasan dan/atau pengendalian jenis ikan dan hasil perikanan yang dilarang dilindungi dan dibatasi serta ikan jenis asing invasif (KEB 3)
2. Pelaksanaan pengawasan dan/atau pengendalian mutu dan keamanan hasil perikanan serta mutu dan keamanan pakan (KEB 3)
3. Pertukaran data dan informasi (KEB 6)
4. Peningkatan kapasitas sumber daya manusia (KEB 3)
5. Pengembangan dan penerapan hasil penelitian kelautan dan perikanan berbasis ekonomi biru (KEB 3)
6. Peningkatan penerapan ilmu pengetahuan dan teknologi untuk pengelolaan kelautan dan perikanan berbasis ekonomi biru (KEB 3)
7. Pemberdayaan masyarakat dalam pengelolaan kelautan dan perikanan berbasis ekonomi biru (KEB 3)
8. Pembangunan dan/atau pengembangan infrastruktur sektor pekerjaan umum dan perumahan rakyat dalam mendukung pembangunan/pengembangan sektor kelautan dan perikanan (KEB 4)
9. Berbagi pakai data dan informasi (KEB 6)
10. Pengembangan kapasitas sumber daya manusia (KEB 3)
11. Pengembangan usaha pengolahan dan pemasaran (KEB 3)
12. Koodinasi administrasi penggunaan barang milik negara (KEB 6)
13. Optimalisasi pemanfaatan sumber daya kelautan dan perikanan (KEB 3)
14. Peningkatan penerapan ilmu pengetahuan dan teknologi untuk pengelolaan bidang kelautan dan perikanan (KEB 3)
15. Pemberdayaan masyarakat dalam pengelolaan bidang kelautan dan perikanan (KEB 3)
16. Pemberdayaan masyarakat kelautan dan perikanan di wilayah pesisir dan pulau-pulau kecil (KEB 4)
17. Berbagi pakai data dan/atau informasi (KEB 6)
18. Pengembangan dan pemanfaatan kawasan pengelolaan bidang kelautan dan perikanan (KEB 4)
19. Pengembangan hasil penelitian untuk penerapan di bidang kelautan dan perikanan (KEB 3)
20. Peningkatan advokasi serta komunikasi, informasi, dan edukasi (KIE) (KEB 6)
21. Peningkatan pengelolaan perikanan tangkap yang berkelanjutan (KEB 2)
22. Peningkatan pengelolaan perikanan budi daya yang berkelanjutan (KEB 3)
23. Penguatan daya saing produk kelautan dan perikanan berkelanjutan (KEB 3)
24. Pengawasan sumber daya kelautan dan perikanan (KEB 4)
25. Peningkatan kapasitas sumber daya manusia kelautan dan perikanan (KEB 3)
26. Peningkatan pengendalian dan pengawasan mutu hasil kelautan dan perikanan (KEB 3)
27. Pengembangan dan pemanfaatan potensi sumber daya kelautan dan perikanan (KEB 4)
28. Peningkatan kompetensi dan kapasitas sumber daya manusia (KEB 3)
29. Pertukaran dan pemanfaatan data dan/atau informasi (KEB 6)
30. Dukungan pengelolaan perairan pesisir kolaboratif, kawasan konservasi, dan other effective area-based conservation measures (OECMs) berbasis pengetahuan lokal
31. Pengembangan sumber daya manusia kelautan dan perikanan
32. Dukungan terhadap program pembangunan sektor kelautan dan perikanan
33. Pelayanan jasa perbankan
34. Pelaksanaan program Corporate Social Responsibility (CSR) kepada stakeholders (pemangku kepentingan) di bidang kelautan dan perikanan
35. Pengelolaan perikanan tangkap
36. Pengembangan perikanan budidaya
37. Pengembangan hilirisasi produk perikanan dan kelautan
38. Pengembangan kapasitas dan karakter sumber daya manusia
39. Kegiatan lainnya yang disepakati Para Pihak sesuai dengan ketentuan peraturan dan perundang-undangan
40. Pengembangan sumber daya manusia
41. Perluasan dan pengembangan kesempatan kerja
42. Pelayanan penempatan dan perlindungan tenaga kerja di dalam dan luar negeri
43. Pembinaan hubungan industrial dan peningkatan kepesertaan jaminan sosial ketenagakerjaan
44. Pembinaan dan pengawasan bersama serta penegakan hukum dalam rangka peningkatan perlindungan ketenagakerjaan dan keselamatan dan kesehatan kerja
45. Pengembangan kampung perikanan budidaya
46. Pengembangan usaha garam rakyat
47. Pengarusutamaan gender
48. Penyadartahuan pengelolaan ekologi dan kesehatan laut
49. Layanan fungsi perbankan sebagai channeling Bank/Administrating Bank pada proyek pinjaman dan/atau hibah luar negeri
50. Layanan dan jasa perbankan lainnya kepada PIHAK KESATU
51. Layanan dan jasa perbankan lainnya kepada mitra PIHAK KESATU
52. Pengembangan dan optimalisasi pemanfaatan sumber daya kelautan dan perikanan melalui tridharma perguruan tinggi
53. Pengembangan dan penerapan ilmu pengetahuan dan teknologi pengelolaan kelautan dan perikanan
54. Pemberdayaan masyarakat kelautan dan perikanan melalui program pengabdian kepada masyarakat
55. Peningkatan kapasitas jasa kelautan dan pengelolaan kawasan konservasi
56. Penguatan pengelolaan perikanan berkelanjutan di Wilayah Pengelolaan Perikanan Negara Republik Indonesia (WPPNRI) dalam mendukung penangkapan ikan terukur dan kampung nelayan maju
57. Pengembangan konsep perikanan budidaya terintegrasi dan kampung perikanan budidaya berdasarkan kearifan lokal
58. Peningkatan usaha di bidang kelautan dan perikanan
59. Peningkatan jejaring usaha dan akses pasar
60. Penguatan kelembagaan dan korporasi nelayan
61. Pengembangan dan pemanfaatan teknologi ketertelusuran
62. Pelaksanaan harvest strategy
63. Penguatan akses pasar internasional bagi produk Indonesia yang berasal dari nelayan khususnya nelayan kecil
64. Pemanfaatan sarana dan prasarana
65. Analisis data dan publikasi ilmiah bersama
66. Pembinaan dan pengembangan kelompok usaha masyarakat, koperasi, dan UMKM di sektor kelautan dan perikanan
67. Peningkatan kapasitas sumber daya manusia sektor kelautan dan perikanan
68. Pertukaran dan sinkronisasi data dan informasi pelaku usaha koperasi di sektor kelautan dan perikanan secara elektronik
69. Pendampingan dan penyuluhan bagi koperasi dan pelaku UMKM di sektor kelautan dan perikanan
70. Kajian, pengembangan, dan penerapan teknologi di bidang pangan dan gizi
71. Peningkatan ketersediaan pangan dan gizi
72. Pengembangan dan peningkatan usaha mikro, kecil, dan menengah
73. Pelaksanaan perkarantinaan, jaminan mutu, dan kemanan pangan</t>
  </si>
  <si>
    <t>1. 3
2. 3
3. 6
4. 3
5. 3
6. 3
7. 3
8. 4
9. 6
10. 3
11. 3
12. 6
13. 3
14. 3
15. 3
16. 4
17. 6
18. 4
19. 3
20. 6
21. 2
22. 3
23. 3
24. 4
25. 3
26. 3
27. 4
28. 3
29. 6
30. 
31. 
32. 
33. 
34. 
35. 
36. 
37. 
38. 
39. 
40. 
41. 
42. 
43. 
44. 
45. 
46. 
47. 
48. 
49. 
50. 
51. 
52. 
53. 
54. 
55. 
56. 
57. 
58. 
59. 
60. 
61. 
62. 
63. 
64. 
65. 
66. 
67. 
68. 
69. 
70. 
71. 
72. 
73.</t>
  </si>
  <si>
    <t>BRIN</t>
  </si>
  <si>
    <t>10/MEN-KP/KB/IV/2024</t>
  </si>
  <si>
    <t>Ka BRIN</t>
  </si>
  <si>
    <t>32/I/KS/04/2024</t>
  </si>
  <si>
    <t>4/30/2024</t>
  </si>
  <si>
    <t>4/30/2029</t>
  </si>
  <si>
    <t>1. Penelitian, pengembangan, pengkajian, penerapan, serta invensi, dan inovasi dibidang kelautan dan perikanan (KEB 3)</t>
  </si>
  <si>
    <t>1. Pemanfaatan hasil riset dan inovasi di bidang kelautan dan perikanan (KEB 3)
2. Pertukaran personil dan/atau tenaga ahli (KEB 3)
3. Berbagi pakai data dan/atau informasi (KEB 6)
4. Pengembangan kapasitas sumber daya manusia (KEB 3)
5. Optimalisasi pemanfaatan sumber daya kelautan dan perikanan (KEB 3)
6. Peningkatan penerapan ilmu pengetahuan dan teknologi untuk pengelolaan bidang kelautan dan perikanan (KEB 3)
7. Pemberdayaan masyarakat dalam pengelolaan bidang kelautan dan perikanan (KEB 3)
8. Pengembangan dan pemanfaatan kawasan pengelolaan bidang kelautan dan perikanan yang berkelanjutan (KEB 4)
9. Peningkatan pengelolaan kawasan konservasi (KEB 1)
10. Dukungan program strategis para pihak (KEB 6)
11. Koordinasi pengawasan, pembinaan dan endampingan antara pusat dan daerah dalam pemberian bantuan sarana dan prasarana bagi pelaku usaha dan pelaku pendukung sektor kelautan dan perikanan (KEB 4)
12. Pengembangan kompetensi sumber daya manusia (KEB 3)
13. Asistensi pencegahan dan penanganan permasalahan tanah pihak kesatu
14. Pelaksanaan penataan aset reforma agraria melalui legalisasi aset dan redistribusi tanah
15. Pelaksanaan penataan akses reforma agraria melalui program pemberdayaan tanah masyarakat
16. Koordinasi pengintegrasian rencana tata ruang darat dan laut
17. Pencegahan dan penanganan indikasi kecurangan (KEB 6)
18. Peningkatan Kapabilitas aparat pengawasan intern pemerintah (KEB 6)
19. Peningkatan maturitas sistem pengendalian internal pemerintah dan manajemen resiko (KEB 6)
20. Berbagi pakai data dan informasi (KEB 6)
21. Jasa layanan milik anak usaha pihak kedua (KEB 6)
22. Pemanfaatan produk dan pelayanan jasa perbankan (KEB 6)
23. Pelaksanaan program Corporate Social Responsibility (CSR) kepada stakeholders (pemangku kepentingan) di bidang kelautan dan perikanan (KEB 6)
24. Pemberian dukungan pelaksanaan kegiatan pihak kesatu (KEB 6)
25. Bantuan pengamanan (KEB 3)
26. Penegakan hukum (KEB 3)
27. Peningkatan kapasitas dan pemanfaatan sumber daya manusia (KEB 3)
28. Pembinaan masyarakat kelautan dan perikanan (KEB 3)
29. Penggunaan sarana dan prasarana (KEB 6)
30. Penegakan hukum tindak pidana di bidang kelautan, perikanan, serta pengelolaan wilayah pesisir dan pulau-pulau kecil (KEB 4)
31. Pengamanan pembangunan yang bersifat strategis dan investasi di bidang kelautan dan perikanan (KEB 2)
32. Pemulihan aset di dalam dan luar negeri (KEB 2)
33. Pengamanan program prioritas di bidang kelautan dan perikanan
34. Pemanfaatan sarana dan prasarana
35. Pemberdayaan bersama sumber daya para pihak untuk pelaksanaan survey, perolehan data penginderaan jauh, serta observasi kelautan
36. Pengolahan data dan informasi kelautan
37. Berbagi pakai dan penyebarluasan data dan informasi kelautan
38. Penggunaan data dan informasi kelautan dalam penyusunan kebijakan nasional
39. Pemantauan dan evaluasi data dan informasi kelautan
40. Pengawasan
41. Peningkatan kompetensi sumber daya manusia
42. Penyelenggaraan komunikasi, informasi, dan edukasi, publikasi, dan diseminasi dalam rangka peningkatan daya saing
43. Pelaksanaan edukasi publik dan diseminasi informasi di sektor kelautan dan perikanan
44. Pengembangan sumber daya manusia (SDM) dan literasi digital bidang TIK di sektor kelautan dan perikanan
45. Pertukaran data dan informasi yang beretika, aman, dan bertanggung jawab, serta tidak bertentangan dengan ketentuan peraturan perundang-undangan
46. Pemanfaatan sumber daya dan infrastruktur komunikasi dan informatika
47. Pengembangan pendidikan dan kebudayaan di bidang kelautan dan perikanan
48. Pelestarian dan pemanfaatan sumber daya arkeologi maritim
49. Peningkatan kapasitas pelaku usaha kelautan dan perikanan
50. Percepatan dan peningkatan investasi di bidang kelautan dan perikanan
51. Pengembangan kemitraan dalam rangka pengembangan usaha kelautan dan perikanan
52. Peningkatan partisipasi pelaku usaha kelautan dan perikanan di forum nasional dan internasional
53. Latihan bersama operasi pencarian dan pertolongan
54. Pelaksanaan operasi pencarian dan pertolongan
55. Berbagi pakai data
56. Dukungan pelaksanaan program kelautan dan perikanan melalui penyediaan jasa layanan logistik
57. Dukungan layanan publik sektor kelautan dan perikanan
58. Pembiayaan pembangunan infrastruktur dan/atau suprastruktur pelabuhan laut dan pelabuhan perikanan terintegrasi serta infrastruktur pendukung melalui skema KPBUberdasarkan peraturan perundang-undangan
59. Rincian infrastruktur yang akan dibangun oleh para pihak melalui pembiayaan APBN dan skema KPBU
60. Dukungan teknis dan nonteknis</t>
  </si>
  <si>
    <t>1. 3
2. 3
3. 6
4. 3
5. 3
6. 3
7. 3
8. 4
9. 1
10. 6
11. 4
12. 3
13. 
14. 
15. 
16. 
17. 6
18. 6
19. 6
20. 6
21. 6
22. 6
23. 6
24. 6
25. 3
26. 3
27. 3
28. 3
29. 6
30. 4
31. 2
32. 2
33. 
34. 
35. 
36. 
37. 
38. 
39. 
40. 
41. 
42. 
43. 
44. 
45. 
46. 
47. 
48. 
49. 
50. 
51. 
52. 
53. 
54. 
55. 
56. 
57. 
58. 
59. 
60.</t>
  </si>
  <si>
    <t>Universitas Padjadjaran</t>
  </si>
  <si>
    <t>09/MEN-KP/KB/III/2024</t>
  </si>
  <si>
    <t>Rektor Universitas Padjadjaran</t>
  </si>
  <si>
    <t>152/UN6.RKT/HK.07.00/2024 - MOU</t>
  </si>
  <si>
    <t>2024-05-03</t>
  </si>
  <si>
    <t>2027-05-03</t>
  </si>
  <si>
    <t>1. Peningkatan dan pengembangan kapasitas sumber daya manusia kelautan dan perikanan berbasis ekonomi biru (KEB 3)</t>
  </si>
  <si>
    <t>https://drive.google.com/file/d/1SBEITyM1nz3wdjzFPKR2b7p5u4C-X9oq/view?usp=drive_link</t>
  </si>
  <si>
    <t>Kementerian Pekerjaan Umum dan Perumahan Rakyat</t>
  </si>
  <si>
    <t>08/MEN-KP/KB/II/2024</t>
  </si>
  <si>
    <t>Men PUPR</t>
  </si>
  <si>
    <t>01/PKS/M/2024</t>
  </si>
  <si>
    <t>2/13/2024</t>
  </si>
  <si>
    <t>2/13/2029</t>
  </si>
  <si>
    <t>1. Koordinasi dan sinkronisasi penyelenggaraan dukungan infrastruktur pekerjaan umum dan perumahan rakyat dalam mendukung pembangunan/pengembangan sektor kelautan dan perikanan (KEB 4)</t>
  </si>
  <si>
    <t>1. 4</t>
  </si>
  <si>
    <t>https://drive.google.com/file/d/1CvmRYNL_7U5v8CGOkqN2eW-1cEsSKtbH/view?usp=drive_link</t>
  </si>
  <si>
    <t>Kementerian Pertanian</t>
  </si>
  <si>
    <t>07/MEN-KP/KB/II/2024</t>
  </si>
  <si>
    <t>Men Pertanian</t>
  </si>
  <si>
    <t>01/MoU/HK220/M/02/2024</t>
  </si>
  <si>
    <t>1. Sinkronisasi program peningkatan produksi pangan, keamanan pangan, dan ketahanan pangan (KEB 3)</t>
  </si>
  <si>
    <t>https://drive.google.com/file/d/1cYKc4vlBm5iT44NrFOp6RsBRiGbpq7ur/view?usp=drive_link</t>
  </si>
  <si>
    <t>Universitas Syiah Kuala</t>
  </si>
  <si>
    <t>06/MEN-KP/KB/II/2024</t>
  </si>
  <si>
    <t>Rektor Universitas Syiah Kuala</t>
  </si>
  <si>
    <t>43/UN11/HK.02.03//2024</t>
  </si>
  <si>
    <t>2024-05-02</t>
  </si>
  <si>
    <t>2029-05-02</t>
  </si>
  <si>
    <t>1. Peningkatan kapasitas sumber daya manusia kelautan dan perikanan (KEB 3)</t>
  </si>
  <si>
    <t>https://drive.google.com/file/d/1ekvWcJuPOuJz1_0Bn7p1n9hH8c7p2aTe/view?usp=drive_link</t>
  </si>
  <si>
    <t>1. Pengembangan dan pemanfaatan kawasan pengelolaan bidang kelautan dan perikanan (KEB 4)</t>
  </si>
  <si>
    <t>Universitas Diponegoro</t>
  </si>
  <si>
    <t>12/MEN-Kp/NK/V/2024</t>
  </si>
  <si>
    <t>Rektor Universitas Diponegoro</t>
  </si>
  <si>
    <t>80/UN7.A/KS/2024</t>
  </si>
  <si>
    <t>5/27/2024</t>
  </si>
  <si>
    <t>5/27/2029</t>
  </si>
  <si>
    <t>https://drive.google.com/file/d/18kpRu_0IYRuS8vNtSpIXYtB0_o15OPFK/view?usp=drive_link</t>
  </si>
  <si>
    <t>Badan Keamanan Laut (Bakamla)</t>
  </si>
  <si>
    <t>13/MEN-KP/KB/X/2024</t>
  </si>
  <si>
    <t>Kepala Bakamla</t>
  </si>
  <si>
    <t>KS.01/15/X/2024</t>
  </si>
  <si>
    <t>10/14/2024</t>
  </si>
  <si>
    <t>10/14/2029</t>
  </si>
  <si>
    <t>1. Pengamanan dan pengawasan sumber daya kelautan dan perikanan serta penegakan hukum di wilayah perairan Indonesia dan wilayah yurisdiksi Indonesia (KEB 4)</t>
  </si>
  <si>
    <t>https://drive.google.com/file/d/1KBD9uYZ8eDBHmjWK8NRafcR2_sQGwsZG/view?usp=drive_link</t>
  </si>
  <si>
    <t>Kementerian Dalam Negeri</t>
  </si>
  <si>
    <t>01/MEN-KP/KB/II/2024</t>
  </si>
  <si>
    <t>Menteri Dalam Negeri</t>
  </si>
  <si>
    <t>500.5.1/653/SJ</t>
  </si>
  <si>
    <t>1. Pemanfaatan nomor induk kependudukan, data kependudukan, kartu tanda penduduk elektronik, dan/atau identitas kependudukan digital (KEB 6)</t>
  </si>
  <si>
    <t>1. 6</t>
  </si>
  <si>
    <t>https://drive.google.com/file/d/1LE1evabMX9j4mj2S-P5naQBPJPeCvzmC/view?usp=sharing</t>
  </si>
  <si>
    <t>Kementerian Agraria dan Tata Ruang/ATR BPN</t>
  </si>
  <si>
    <t>02/MEN-KP/KB/II/2024</t>
  </si>
  <si>
    <t>Menteri ATR/BPN</t>
  </si>
  <si>
    <t>3/SKB-HK.03.01/II/2024</t>
  </si>
  <si>
    <t>1. Pendaftaran tanah aset Pihak Kesatu, terdiri dari pendaftaran tanah untuk pertama kali dan pemeliharaan data pendaftaran tanah</t>
  </si>
  <si>
    <t>1.</t>
  </si>
  <si>
    <t>https://drive.google.com/file/d/1d6lZnAoRVRWr1UvTTAFKD3jRnvTocyls/view?usp=sharing</t>
  </si>
  <si>
    <t>Badan Pengawasan Keuangan dan Pembangunan (BPKP)</t>
  </si>
  <si>
    <t>03/MEN-KP/KB/II/2024</t>
  </si>
  <si>
    <t>Kepala BPKP</t>
  </si>
  <si>
    <t>HK.02/MoU-1/K/D1/2024</t>
  </si>
  <si>
    <t>1. Pengawasan atas perencanaan dan penganggaran, pelaksanaan dan pertanggungjawaban anggaran (KEB 6)</t>
  </si>
  <si>
    <t>https://drive.google.com/file/d/1OKPe7-nMeh42t_eLWNU9kwLx8A9YQhRC/view?usp=sharing</t>
  </si>
  <si>
    <t>Universitas Hasanuddin</t>
  </si>
  <si>
    <t>04/MEN-KP/KB/II/2024</t>
  </si>
  <si>
    <t>Rektor</t>
  </si>
  <si>
    <t>04360/UN4.1/HK.07/2024</t>
  </si>
  <si>
    <t>https://drive.google.com/file/d/1I_r578tnDT6d0EPbsyTKWBZ5wmcCWwrn/view?usp=sharing</t>
  </si>
  <si>
    <t>Universitas Brawijaya</t>
  </si>
  <si>
    <t>05/MEN-KP/KB/II/2024</t>
  </si>
  <si>
    <t>17.1/UN10.A0406/HK.07.00.2/2024</t>
  </si>
  <si>
    <t>https://drive.google.com/file/d/1-BXr8xGdLNQOWk8vsfkyb5jw1wNR6Md0/view?usp=sharing</t>
  </si>
  <si>
    <t>Badan Kependudukan dan Keluarga Berencana Nasional (BKKBN)</t>
  </si>
  <si>
    <t>14/MEN-KP/KB/IV/2024</t>
  </si>
  <si>
    <t>Plt. Kepala BKKBN</t>
  </si>
  <si>
    <t>20/KSM/G2/2024</t>
  </si>
  <si>
    <t>1. Penguatan program bangga kencana serta program kelautan dan perikanan (KEB 3)</t>
  </si>
  <si>
    <t>https://drive.google.com/file/d/1tMS6RfpAV4d2QDG9-5m__jGcBMsH8UNd/view?usp=sharing</t>
  </si>
  <si>
    <t>Yayasan WWF Indonesia</t>
  </si>
  <si>
    <t>02/SJ/KKP/KB/X/2024</t>
  </si>
  <si>
    <t>Ketua Badan Pengurus Yayasan WWF Indonesia</t>
  </si>
  <si>
    <t>158/WWF-ID/LGL-MOU/X/FY25/2024</t>
  </si>
  <si>
    <t>10/18/2024</t>
  </si>
  <si>
    <t>10/18/2029</t>
  </si>
  <si>
    <t>1. Peningkatan pengelolaan kelautan dan ruang laut berkelanjutan (KEB 4)</t>
  </si>
  <si>
    <t>https://drive.google.com/file/d/1ZoWccBGTDCLJGRGbSyV659Vo2wkRt9yt/view?usp=sharing</t>
  </si>
  <si>
    <t>Badan Pengatur Hilir Minyak dan Gas Bumi</t>
  </si>
  <si>
    <t>04/SJ/KKP/PKS/XII/2024</t>
  </si>
  <si>
    <t>Kepala Badan Pengatur Hilir Minyak dan Gas Bumi</t>
  </si>
  <si>
    <t>20.Pj/KS.01/BPH/2024</t>
  </si>
  <si>
    <t>2024-12-12</t>
  </si>
  <si>
    <t>2029-12-12</t>
  </si>
  <si>
    <t>1. Berbagi pakai data dan/atau informasi (KEB 6)</t>
  </si>
  <si>
    <t>https://drive.google.com/file/d/1lJ06qRLtc_N2Gh9IQ_sEg8kbUwZNut-Y/view?usp=drive_link</t>
  </si>
  <si>
    <t>1. Pemanfaatan data dan/atau informasi dalam pengendalian dan pengawasan konsumen pengguna dalam rangka penyaluran bahan bakar minyak (KEB 3)
2. Sinergi pengendalian dan pengawasan (KEB 4)
3. Pelaksanaan Merdeka Belajar Kampus Merdeka (MBKM) (KEB 3)
4. Pendataan koleksi BMKT (KEB 4)
5. Kajian pengelolaan BMKT (KEB 4)
6. Publikasi (KEB 6)
7. Identifikasi, evaluasi, dan implementasi terhadap jenis lembaga penyalur bahan bakar minyak
8. Identifikasi, evaluasi, dan implementasi terhadap calon mitra usaha lembaga penyalur bahan bakar minyak
9. Pembentukan jejaring gabungan pengendalian mutu dan keamanan hasil perikanan
10. Pertukaran pengetahuan/pengembangan kompetensi sumberdaya aparatur
11. Berbagi pakai data dan/atau informasi
12. Penanganan tindak pidana bidang kelautan dan perikanan
13. Peningkatan kapasitas sumber daya manusia
14. Pelaksanaan kegiatan peningkatan kompetensi SDM KP melalui kegiatan TOTuntuk calon agen SPAK
15. Pembentukan koperasi bagi kelompok usaha bersama
16. Peningkatan kapasitas kelembagaan, usaha, dan kualitas sumber daya manusia koperasi di bidang perikanan tangkap
17. Perluasan akses terhadap sumber-sumber pembiayaan bagi koperasi dan anggotanya di bidang perikanan tangkap
18. Pengembangan korporasi nelayan berbasis koperasi
19. Penerapan teknologi perikanan budidaya
20. Pertukaran data dan informasi
21. Pengumpulan data dan informasi dalam mendukung pengembangan kasus tindak pidana kelautan dan perikanan
22. Sosialisasi, diseminasi, edukasi, dan penyadartahuan masyarakat
23. fasilitasi penyusunan Norma Standar Pedoman dan Kriteria (NSPK)
24. Pelaksanaan dokumentasi dan publikasi informasi
25. Perlingan dan pengelolaan jenis biota laut yang dilindungi dan/atau terancam punah
26. Pemberdayaan dan pengabdian kepada masyarakat pesisir dan pulau-pulau kecil
27. Pengelolaan sumber daya di wilayah pesisir dan pulau-pulau kecil
28. Pengembangan kelembagaan koperasi di bidang perikanan budidaya
29. Pengembangan usaha koperasi dan anggotanya di bidang perikanan budidaya
30. Pendampingan perkoperasian dan teknis budidaya kepada koperasi di kawasan perikanan budidaya
31. Peningkatan akses pembiayaan untuk koperasi di bidang perikanan budidaya
32. Bimbingan teknis dan manajemen operasional pelabuhan perikanan
33. Publikasi hasil pengumpulan dan pengolahan data operasional di atas kapal penangkap ikan dan kapal pengangkut ikan dan/atau di pelabuhan perikanan melalui berbagai media ilmiah akedemis
34. Sosialisasi kebijakan di bidang kelautan dan perikanan
35. Identifikasi pengembangan sarana dan prasarana pelabuhan perikanan
36. Pemberdayaan masyarakat nelayan dalam rangka penangkapan ikan terukur
37. Publikasi karya tulis/karya ilmiah
38. Peningkatan penerapan ilmu hukum di bidang kelautan dan perikanan
39. Pertukaran pengetahuan hukum di bidang kelautan dan perikanan
40. Pengembangan infrastruktur penunjang akses transportasi dan distribusi hasil kelautan dan perikanan
41. Fasilitasi program kerja sama dan kemitraan dalam rangka pengembangan akses transportasi bagi usaha kelautan dan perikanan
42. Peningkatan kapasitas operator logistik dalam distribusi hasil kelautan dan perikanan yang menerapkan sistem rantai dingin dengan moda kereta api
43. Peningkatan akses perizinan berusaha dan fasilitasi sertifikasi produk kelautan dan perikanan
44. Penguatan akses pembiayaan, pasar, dan rantai pasok
45. Peningkatan kapasitas sumber daya manusia koperasi dan usaha mikro, kecil dan menengah di bidang pengolahan dan pemasaran produk kelautan dan perikanan
46. Peningkatan kewirausahaan pengolah dan pemasar produk kelautan dan perikanan
47. Penyediaan data dan informasi
48. Koordinasi penanganan permasalahan
49. Diseminasi/sosialisasi
50. Penanganan tindak pidana kelautan dan perikanan
51. Pertukaran data dan/atau informasi</t>
  </si>
  <si>
    <t>1. 3
2. 4
3. 3
4. 4
5. 4
6. 6
7. 
8. 
9. 
10. 
11. 
12. 
13. 
14. 
15. 
16. 
17. 
18. 
19. 
20. 
21. 
22. 
23. 
24. 
25. 
26. 
27. 
28. 
29. 
30. 
31. 
32. 
33. 
34. 
35. 
36. 
37. 
38. 
39. 
40. 
41. 
42. 
43. 
44. 
45. 
46. 
47. 
48. 
49. 
50. 
51.</t>
  </si>
  <si>
    <t>PT Bank Mandiri (PERSERO) Tbk</t>
  </si>
  <si>
    <t>16/MEN-KP/NK/X/2024</t>
  </si>
  <si>
    <t>Dirut PT Bank Mandiri (PERSERO) Tbk</t>
  </si>
  <si>
    <t>DIR.MOU/23.A/2024</t>
  </si>
  <si>
    <t>10/21/2024</t>
  </si>
  <si>
    <t>10/21/2027</t>
  </si>
  <si>
    <t>1. Pengelolaan dana dan jasa perbankan pihak kesatu (KEB 6)</t>
  </si>
  <si>
    <t>https://drive.google.com/file/d/1Dd3MYViYz6EGHZg03WZ8ctxZ-rewNdic/view?usp=sharing</t>
  </si>
  <si>
    <t>Kepolisian Negara Republik Indonesia</t>
  </si>
  <si>
    <t>Kapolri</t>
  </si>
  <si>
    <t>NK/46/X/2024</t>
  </si>
  <si>
    <t>15/MEN-KP/KB/X/2024</t>
  </si>
  <si>
    <t/>
  </si>
  <si>
    <t>1. Pertukaran dan pemanfaatan data dan/atau informasi (KEB 6)</t>
  </si>
  <si>
    <t>https://drive.google.com/file/d/1ILTV4Fqcbcbn_DjdcSRiL3er0jWRGcJd/view?usp=sharing</t>
  </si>
  <si>
    <t>Kejaksaan Republik Indonesia</t>
  </si>
  <si>
    <t>17/MEN-KP/NK/X/2024</t>
  </si>
  <si>
    <t>Jaksa Agung</t>
  </si>
  <si>
    <t>9 Tahun 2024</t>
  </si>
  <si>
    <t>10/31/2024</t>
  </si>
  <si>
    <t>10/31/2027</t>
  </si>
  <si>
    <t>1. Bantuan hukum, pertimbangan hukum, dan tindakan hukum lainnya di bidang perdata, dan tata usaha negara (KEB 6)</t>
  </si>
  <si>
    <t>https://drive.google.com/file/d/1IAv4BFC1ry37RZn0QegPv9ICqoNM3wCT/view?usp=sharing</t>
  </si>
  <si>
    <t>Kementerian Desa dan Pembangunan Daerah Tertinggal</t>
  </si>
  <si>
    <t>MDPDT</t>
  </si>
  <si>
    <t>09/M/HKM.07.01/XI/2024</t>
  </si>
  <si>
    <t>18/MEN-KP/KB/XI/2024</t>
  </si>
  <si>
    <t>11/25/2024</t>
  </si>
  <si>
    <t>11/25/2029</t>
  </si>
  <si>
    <t>1. Sinergi kebijakan pembangunan dan pemberdayaan desa dan daerah tertimggal berbasis pengelolaan potensi sumber daya kelautan dan perikanan (KEB 4)</t>
  </si>
  <si>
    <t>https://drive.google.com/file/d/1eN0Fo--zwj_UlCvMf5FW_ouqSU-ZqH98/view?usp=sharing</t>
  </si>
  <si>
    <t>1. Penguatan kelembagaan ekonomi desa di bidang kelautan dan perikanan (KEB 4)</t>
  </si>
  <si>
    <t>1. Fakultas Ilmu Budaya, UGM 
2. Fakultas Ilmu Budaya, UI 
3. Fakultas Ilmu Budaya, UnHas</t>
  </si>
  <si>
    <t>Dirjen PKRL</t>
  </si>
  <si>
    <t>11/DJPKRL/KS.320/VIII/2024</t>
  </si>
  <si>
    <t>1. Dekan Fakultas Ilmu Budaya, UGM
2. Dekan Fakultas Ilmu Pengetahuan Budaya, UI
3. Dekan Fakultas Ilmu Budaya, UnHas</t>
  </si>
  <si>
    <t>2633/UN1.FIB/Sek.Dek/2024
/PKS/FIB/UI/2024
3943/UN4.9/HK.07.00/2024</t>
  </si>
  <si>
    <t>8/29/2024</t>
  </si>
  <si>
    <t>8/29/2027</t>
  </si>
  <si>
    <t>1. Penguatan kapasitas sumber daya manusia (KEB 3)</t>
  </si>
  <si>
    <t>https://drive.google.com/file/d/1Y6aMl450sZRyCOcuYVomtLfFxPVbvLEo/view?usp=sharing</t>
  </si>
  <si>
    <t>2023</t>
  </si>
  <si>
    <t>Kemenko PMK</t>
  </si>
  <si>
    <t>Asdep Jamsos</t>
  </si>
  <si>
    <t>002/PKS/DEP.1/KEMENKO/PMK/02/2023</t>
  </si>
  <si>
    <t>Plt. Kapusdatin</t>
  </si>
  <si>
    <t>B.693/SJ.7/KS.320/II/2023</t>
  </si>
  <si>
    <t>2</t>
  </si>
  <si>
    <t>2/16/2023</t>
  </si>
  <si>
    <t>2/16/2025</t>
  </si>
  <si>
    <t>1. Berbagi pakai data P3KE dan data KUSUKA dalam rangka optimalisasi percepatan penghapusan kemiskinan ekstreem di sektor kelautan dan perikanan (KEB 4)</t>
  </si>
  <si>
    <t>https://drive.google.com/file/d/1LgXZbKhTzmZCgax4leAqTDtlunBHE7iH/view?usp=share_link</t>
  </si>
  <si>
    <t>Pemkab Bangka</t>
  </si>
  <si>
    <t>Bupati Bangka</t>
  </si>
  <si>
    <t>100.3.7/564/DIPERKAN/2023</t>
  </si>
  <si>
    <t>Ka BKIPM</t>
  </si>
  <si>
    <t>B.601/BKIPM/KS.310/VII/2023</t>
  </si>
  <si>
    <t>2023-06-07</t>
  </si>
  <si>
    <t>2026-06-07</t>
  </si>
  <si>
    <t>1. Penguatan sistem perkarantinaan ikan melalui pembentukan jejaring gabungan reaksi cepat (KEB 4)</t>
  </si>
  <si>
    <t>https://drive.google.com/file/d/1OtrdlYu5vW_roCvzIgOU6dV5bMO6iI16/view?usp=drive_link</t>
  </si>
  <si>
    <t>1. Penguatan sistem jaminan mutu dan kemanan hasil perikanan (KEB 3)
2. Pertukaran pengetahuan/pengembangan kompetensi sumberdaya aparatur (KEB 3)
3. Berbagi pakai data dan/atau informasi (KEB 6)
4. Peningkatan kapasitas kelembagaan usaha
5. Fasilitasi pemenuhan bahan baku sesuai standar, mutu, dan nilai tambah
6. Pengelolaan tata niaga dan distribusi
7. Fasilitasi promosi investasi dan pemasaran
8. Penyediaan data dan informasi
9. Kegiatan lain yang disepakati oleh Para Pihak
10. Penanganan pelanggaran di bidang kelautan dan perikanan
11. Peningkatan kapasitas sumber daya manusia dan aparatur
12. Pertukaran data dan informasi
13. Berbagi pakai data
14. Pengembangan data dan/atau informasi statistik
15. Pengembangan dan peningkatan kompetensi sumber daya manusia bidang statistik kelautan dan perikanan, serta teknologi informasi
16. Sinergi pelaksanaan kegiatan sensus dan survey</t>
  </si>
  <si>
    <t>1. 3
2. 3
3. 6
4. 
5. 
6. 
7. 
8. 
9. 
10. 
11. 
12. 
13. 
14. 
15. 
16.</t>
  </si>
  <si>
    <t>Pemkab Bangka Selatan</t>
  </si>
  <si>
    <t>Bupati Bangka Selatan</t>
  </si>
  <si>
    <t>523/01/DPPP/2023</t>
  </si>
  <si>
    <t>B.603/BKIPM/KS.310/VII/2023</t>
  </si>
  <si>
    <t>1. Penguatan sistem perkarantinaan ikan melalui pembentukan jejaring gabungan reaksi cepat</t>
  </si>
  <si>
    <t>https://drive.google.com/file/d/1OuGfwHLl1PM1WBJhcWCEPKAKcGSUzXyM/view?usp=drive_link</t>
  </si>
  <si>
    <t>Pemkab Bangka Tengah</t>
  </si>
  <si>
    <t>Bupati Bangka Tengah</t>
  </si>
  <si>
    <t>415.4/26/SETDA.PEM/2023</t>
  </si>
  <si>
    <t>B.602/BKIPM/KS.310/VII/2023</t>
  </si>
  <si>
    <t>https://drive.google.com/file/d/1-ywRsZJmOcRi9q03VfzPy1ntVea4Cyd-/view?usp=drive_link</t>
  </si>
  <si>
    <t>Pemkab Belitung Timur</t>
  </si>
  <si>
    <t>Bupati Belitung Timur</t>
  </si>
  <si>
    <t>007/NK/I/BT/2023</t>
  </si>
  <si>
    <t>B.606/BKIPM/KS.310/VII/2023</t>
  </si>
  <si>
    <t>https://drive.google.com/file/d/1eIMRTrhlOdQAUp_UTj5pUAT_mw1tYJO-/view?usp=drive_link</t>
  </si>
  <si>
    <t>Pertamina Patra Niaga</t>
  </si>
  <si>
    <t>Dirjen PT</t>
  </si>
  <si>
    <t>01/PT/KKP/PKS/II/2023</t>
  </si>
  <si>
    <t>Dirut Pertamina Patra Niaga</t>
  </si>
  <si>
    <t>KTR-009/PNA000000/2023-SO</t>
  </si>
  <si>
    <t>2023-02-02</t>
  </si>
  <si>
    <t>2026-02-02</t>
  </si>
  <si>
    <t>1. Identifikasi, evaluasi, dan implementasi terhadap kebutuhan penyaluran bahan bakar minyak</t>
  </si>
  <si>
    <t>https://drive.google.com/file/d/1oBThu56YJ86LEB3XoJjsLHEr6lbFaq8R/view?usp=share_link</t>
  </si>
  <si>
    <t>GISLI (Gerakan Ingat Selamat Layar Indonesia)</t>
  </si>
  <si>
    <t>Dirjen PDS</t>
  </si>
  <si>
    <t>01/PDSPKP/KKP/PKS/VII/2023</t>
  </si>
  <si>
    <t>Ketua GISLI</t>
  </si>
  <si>
    <t>K/014/S01-GSL/EXT-PDSPKP/VII/2023</t>
  </si>
  <si>
    <t>2025-06-07</t>
  </si>
  <si>
    <t>1. Pembinaan masyarakat pesisirdi bidang pengolahan hasil kelautan dan perikanan</t>
  </si>
  <si>
    <t>https://drive.google.com/file/d/1fu6OiQS2dwLRj6NZVQckq4R_ng5LtqTn/view?usp=drive_link</t>
  </si>
  <si>
    <t>Pemda Wakatobi</t>
  </si>
  <si>
    <t>02/PDSPKP/KKP/PKS/VII/2023</t>
  </si>
  <si>
    <t>Bupati Wakatobi</t>
  </si>
  <si>
    <t>420/NK/08/PEMKAB/VII/2023</t>
  </si>
  <si>
    <t>7/18/2023</t>
  </si>
  <si>
    <t>7/18/2026</t>
  </si>
  <si>
    <t>1. Penyediaan sarana dan prasarana pengolahan, logistik, dan pemasaran</t>
  </si>
  <si>
    <t>https://drive.google.com/file/d/1sCoyLS85G3gk7qiOUMBlpBnUkH4ZrEos/view?usp=drive_link</t>
  </si>
  <si>
    <t>Yayasan Pesisir Lestari</t>
  </si>
  <si>
    <t>02/SJ/KKP/KB/XI/2023</t>
  </si>
  <si>
    <t>Ketua Yayasan Pesisir Lestari</t>
  </si>
  <si>
    <t>017/KB/YPL/XI/2013</t>
  </si>
  <si>
    <t>11/27/2023</t>
  </si>
  <si>
    <t>11/27/2028</t>
  </si>
  <si>
    <t>1. Dukungan terhadap kebijakan pengelolaan sumber daya kelautan dan perikanan secara kolaboratif dan partisipatif</t>
  </si>
  <si>
    <t>https://drive.google.com/file/d/1CRLF67IYm7WphabUlbIgzxdBgmQcjXQg/view?usp=drive_link</t>
  </si>
  <si>
    <t>Pemkab Belitung</t>
  </si>
  <si>
    <t>B.605/BKIPM/KS.310/VII/2023</t>
  </si>
  <si>
    <t>Bupati Belitung</t>
  </si>
  <si>
    <t>181/003/NK/I/2023</t>
  </si>
  <si>
    <t>https://drive.google.com/file/d/15pmUia1zHU6A8sSYxtyzWfAm_9O8XI1b/view?usp=drive_link</t>
  </si>
  <si>
    <t>Pemkab Bangka Barat</t>
  </si>
  <si>
    <t>B.604/BKIPM/KS.310/VII/2023</t>
  </si>
  <si>
    <t>Bupati Bangka Barat</t>
  </si>
  <si>
    <t>415.4/06/SETDA/II/2023</t>
  </si>
  <si>
    <t>https://drive.google.com/file/d/1qPKK6GNYkG-PU0hd0HsOwBtwW_9SSLen/view?usp=drive_link</t>
  </si>
  <si>
    <t>Dinas Perikanan Kabupaten Belitung Timur</t>
  </si>
  <si>
    <t>Ka SKIPM Pangkalpinang</t>
  </si>
  <si>
    <t>B.529/PKS-SKIPM.PKP/KS.320/VII/2023</t>
  </si>
  <si>
    <t>Ka Dinas Perikanan Kabupaten Belitung Timur</t>
  </si>
  <si>
    <t>KS.300/001/DP-III/2023</t>
  </si>
  <si>
    <t>1. Pembentukan jejaring gabungan reaksi cepat perkarantinaan ikan</t>
  </si>
  <si>
    <t>https://drive.google.com/file/d/15FI3Zrn15_Q4p3NKTOM_Dvchj9nrLc-m/view?usp=drive_link</t>
  </si>
  <si>
    <t>Dinas Kelautan dan Perikanan Kota Pangkalpinang</t>
  </si>
  <si>
    <t>B.524/PKS-SKIPM.PKP/KS.320/VII/2023</t>
  </si>
  <si>
    <t>Ka Dinas Kelautan dan Perikanan Kota Pangkalpinang</t>
  </si>
  <si>
    <t>188.3/042/KEP/DKP/VII/2023</t>
  </si>
  <si>
    <t>https://drive.google.com/file/d/1SkiM5kjc7kXO49YJIa205AVsH8TW9QAN/view?usp=drive_link</t>
  </si>
  <si>
    <t>Dinas Perikanan Kabupaten Belitung</t>
  </si>
  <si>
    <t>B.526/RK-SKIPM.PKP/KS.320/VII/2023</t>
  </si>
  <si>
    <t>Ka Dinas Perikanan Kabupaten Belitung</t>
  </si>
  <si>
    <t>523/699/Perik-RK/2023</t>
  </si>
  <si>
    <t>https://drive.google.com/file/d/1UjQB6Yevf7N_CatXLHe1k4OERtzL-11K/view?usp=drive_link</t>
  </si>
  <si>
    <t>Dinas Perikanan Kabupaten Bangka Tengah</t>
  </si>
  <si>
    <t>B.528/PKS-SKIPM.PKP/KS.320/VII/2023</t>
  </si>
  <si>
    <t>Ka Dinas Perikanan Kabupaten Bangka Tengah</t>
  </si>
  <si>
    <t>415.4/354/DIPERKAN/2023</t>
  </si>
  <si>
    <t>https://drive.google.com/file/d/1sL0vZSifJ_wlM0NkNOi-m0_KlkgcLcQG/view?usp=drive_link</t>
  </si>
  <si>
    <t>Dinas Pertanian, Pangan, Perikanan Kab Bangka Selatan</t>
  </si>
  <si>
    <t>B.525/PKS-SKIPM.PKP/KS.320/VII/2023</t>
  </si>
  <si>
    <t>Plt. Ka Dinas Pertanian, Pangan, Perikanan Kab Bangka Selatan</t>
  </si>
  <si>
    <t>523/02/DPPP/2023</t>
  </si>
  <si>
    <t>https://drive.google.com/file/d/1c7u4zStAKyTrhBId9cCKSR3vaKk0xI7S/view?usp=drive_link</t>
  </si>
  <si>
    <t>Dinas Perikanan Kabupaten Bangka Barat</t>
  </si>
  <si>
    <t>B.527/PKS-SKIPM.PKP/KS.320/VII/2023</t>
  </si>
  <si>
    <t>Ka Dinas Perikanan Kabupaten Bangka Barat</t>
  </si>
  <si>
    <t>000.4.7.2/121/DKP/2023</t>
  </si>
  <si>
    <t>https://drive.google.com/file/d/1Xuw4joblkywptVbpDpzQTA2Jc8MEr82k/view?usp=drive_link</t>
  </si>
  <si>
    <t>Dinas Perikanan Kabupaten Bangka</t>
  </si>
  <si>
    <t>B.523/PKS-SKIPM.PKP/KS.320/VII/2024</t>
  </si>
  <si>
    <t>Ka Dinas Perikanan Kabupaten Bangka</t>
  </si>
  <si>
    <t>523/292/DINPERKAN/2023</t>
  </si>
  <si>
    <t>https://drive.google.com/file/d/163yn6G8UwWwIUGXOAoHiCADik06AtiL7/view?usp=drive_link</t>
  </si>
  <si>
    <t>Dinas Ketahanan Pangan, Kelautan dan Pertanian, PemProv DKI</t>
  </si>
  <si>
    <t>Kadis Ketahanan Pangan, Kelautan dan Pertanian, Pemprov DKI</t>
  </si>
  <si>
    <t>986/LI.15.00</t>
  </si>
  <si>
    <t>Sesditjen PSDKP</t>
  </si>
  <si>
    <t>01/DJPSDKP/KKP/PKS/II/2023</t>
  </si>
  <si>
    <t>2/17/2023</t>
  </si>
  <si>
    <t>2/17/2028</t>
  </si>
  <si>
    <t>1. Pengawasan sumber daya kelautan dan perikanan</t>
  </si>
  <si>
    <t>https://drive.google.com/file/d/1r_3iV9VxoTulPyme-nNnOQojeZ1wpRol/view?usp=drive_link</t>
  </si>
  <si>
    <t>Perkumpulan Saya Perempuan Anti Korupsi (SPAK)</t>
  </si>
  <si>
    <t>KaPusLatLuhKP</t>
  </si>
  <si>
    <t>26/BRSDMKP/KKP/PKS/VI/2023</t>
  </si>
  <si>
    <t>Direktur</t>
  </si>
  <si>
    <t>183/PKS-SPAK/VI/2023</t>
  </si>
  <si>
    <t>6/16/2023</t>
  </si>
  <si>
    <t>6/16/2025</t>
  </si>
  <si>
    <t>1. Koordinasi dan fasilitasi pelaksanaan kegiatan peningkatan kompetensi SDM KP melalui program pembentukan agen perubahan (agen SPAK)</t>
  </si>
  <si>
    <t>https://drive.google.com/file/d/1XLw5A4RY75s2PMtbVlSjQnBwn2LIGuNN/view?usp=drive_link</t>
  </si>
  <si>
    <t>Badan Inteljen Nasional</t>
  </si>
  <si>
    <t>05/MEN-KP/KB/IV/2023</t>
  </si>
  <si>
    <t>Kepala BIN</t>
  </si>
  <si>
    <t>MoU-03/IV/2023</t>
  </si>
  <si>
    <t>2023-03-04</t>
  </si>
  <si>
    <t>2028-03-04</t>
  </si>
  <si>
    <t>1. Pertukaran data dan informasi</t>
  </si>
  <si>
    <t>https://drive.google.com/file/d/1zTDqHphJ82GGfjmrUba4Hp_HBbkgHzT_/view?usp=share_link</t>
  </si>
  <si>
    <t>Kemenko Marves
Kemen ESDM
KKP
Kemenhub
Kemen PPN/BAPPENAS
TNI
BMG
BIG
BRIN</t>
  </si>
  <si>
    <t>04/MEN-KP/KB/IV/2023</t>
  </si>
  <si>
    <t>Menko Marves
Men ESDM
Men KKP
Menhub
Men Bappenas
Panglima TNI
Kepala BMKG
Kepala BIG
Kepala BRIN</t>
  </si>
  <si>
    <t>2/NKB/MARVES/2023
1.Pj/KS.01/MEM.S/2023
04/MEN-KP/KB/III/2023
PJ 129 Tahun 2023
NK 01/M.PPN/03/2023
NK/2/11/2023/TNI
MoU/002/KB/DN/11/2023
1/KA-BIG/HK.01.03/3/2023
26/1/KS/03/2023</t>
  </si>
  <si>
    <t>3/13/2023</t>
  </si>
  <si>
    <t>3/13/2028</t>
  </si>
  <si>
    <t>1. Sinkronisasi perencanaan survey dan observasi kelautan, termasuk didalamnya penetapan hari layar</t>
  </si>
  <si>
    <t>https://drive.google.com/file/d/1syW5m5TklTkbi6-7fM2siqpewS_TjB6D/view?usp=share_link</t>
  </si>
  <si>
    <t>PT Bank Rakyat Indonesia</t>
  </si>
  <si>
    <t>03/MEN-KP/K/III/2023</t>
  </si>
  <si>
    <t>Dirut PT BRI</t>
  </si>
  <si>
    <t>B.0446-DIR/INS/03/2023</t>
  </si>
  <si>
    <t>2023-06-03</t>
  </si>
  <si>
    <t>2028-06-03</t>
  </si>
  <si>
    <t>1. Percepatan penyaluran kredit program dan kredit umum baik secara langsung maupun linkage kepada pelaku usaha kelautan dan perikanan</t>
  </si>
  <si>
    <t>https://drive.google.com/file/d/12qsTzZK2todQb6vHcx55U-XlMauSW0Zx/view?usp=share_link</t>
  </si>
  <si>
    <t>IKA UNDIP</t>
  </si>
  <si>
    <t>02/MEN-KP/KB/II/2023</t>
  </si>
  <si>
    <t>Ketua Umum IKA UNDIP</t>
  </si>
  <si>
    <t>05/MOU-DPP IKA UNDIP/II/2023</t>
  </si>
  <si>
    <t>2/25/2023</t>
  </si>
  <si>
    <t>2/25/2028</t>
  </si>
  <si>
    <t>1. Pengelolaan ekologi dan kesehatan laut</t>
  </si>
  <si>
    <t>https://drive.google.com/file/d/1dpyB4_FFmF23RARKrz4sY58LLNNJpwnH/view?usp=share_linkDokumen</t>
  </si>
  <si>
    <t>Kemen BUMN</t>
  </si>
  <si>
    <t>01/MEN-KP/KB/11/2023</t>
  </si>
  <si>
    <t>Menteri BUMN</t>
  </si>
  <si>
    <t>MOU-01/MBU/02/2023</t>
  </si>
  <si>
    <t>1. Sinergi tugas dan fungsi Para Pihak dalam pengembangan dan pengelolaan sumber daya kelautan dan perikanan</t>
  </si>
  <si>
    <t>https://drive.google.com/file/d/1A-FGOQAqzx4P6Hd-QC4-9uUm7INd6Qx3/view?usp=share_link</t>
  </si>
  <si>
    <t>BPOM</t>
  </si>
  <si>
    <t>06/MEN-KP/KB/VII/2023</t>
  </si>
  <si>
    <t>Kepala BPOM</t>
  </si>
  <si>
    <t>KS.01.01.1.2.07.03.23</t>
  </si>
  <si>
    <t>2023-03-07</t>
  </si>
  <si>
    <t>2028-03-07</t>
  </si>
  <si>
    <t>1. Pembinaan</t>
  </si>
  <si>
    <t>https://drive.google.com/file/d/163Jb5FQS9xvRtlhjFsrwkEY2-hPonfoC/view?usp=drive_link</t>
  </si>
  <si>
    <t>Deputi Bidang Perkoperasian KemenkopUKM</t>
  </si>
  <si>
    <t>Plt. Dirjen PT</t>
  </si>
  <si>
    <t>20/PT/KKP/PKS/VIII/2023</t>
  </si>
  <si>
    <t>Deputi Bidang Perkoperasian</t>
  </si>
  <si>
    <t>3/PKS/D.1/VIII/2023</t>
  </si>
  <si>
    <t>2023-07-08</t>
  </si>
  <si>
    <t>2026-07-08</t>
  </si>
  <si>
    <t>1. Sinkronisasi data kelompok usaha bersama dan koperasi di bidang perikanan tangkap</t>
  </si>
  <si>
    <t>https://drive.google.com/file/d/1ChJPMaPykM7UWxyZXo226LTAZnJgSO9E/view?usp=drive_link</t>
  </si>
  <si>
    <t>Pemkab Wakatobi</t>
  </si>
  <si>
    <t>04/DJPB/KKP/PKS/VIII/2023</t>
  </si>
  <si>
    <t>420/PKS/11/PEMKAB/VIII/2023</t>
  </si>
  <si>
    <t>2023-10-08</t>
  </si>
  <si>
    <t>2026-10-08</t>
  </si>
  <si>
    <t>1. Penyediaan dan pemanfaatan sarana dan prasarana budidaya rumput laut</t>
  </si>
  <si>
    <t>https://drive.google.com/file/d/1zWQX7FeDHre4PJGW3kPALIW9kZvoo0PX/view?usp=drive_link</t>
  </si>
  <si>
    <t>Yayasan Rekam Jejak Alam Nusantara</t>
  </si>
  <si>
    <t>Sekretaris DJPSDKP</t>
  </si>
  <si>
    <t>02/DJPSDKP/KKP/PKS/III/2023</t>
  </si>
  <si>
    <t>Ketua Yayasan</t>
  </si>
  <si>
    <t>47/SPK/YRJAN/III/2023</t>
  </si>
  <si>
    <t>2023-01-03</t>
  </si>
  <si>
    <t>11/30/2025</t>
  </si>
  <si>
    <t>1. Peningkatan kapasitas sumber daya manusia</t>
  </si>
  <si>
    <t>https://drive.google.com/file/d/1IlUo539cwr2Dha4Mpao4yqwZ15QZfQG9/view?usp=drive_link</t>
  </si>
  <si>
    <t>Pemkot Pangkalpinang</t>
  </si>
  <si>
    <t>Walikota Pangkalpinang</t>
  </si>
  <si>
    <t>10/NK/DKP/VII/2023</t>
  </si>
  <si>
    <t>B.600/BKIPM/KS.310/VII/2023</t>
  </si>
  <si>
    <t>https://drive.google.com/file/d/1bVMKmRfqEjWmNKImss6eLTv8Un7mIYqB/view?usp=drive_link</t>
  </si>
  <si>
    <t>2022</t>
  </si>
  <si>
    <t>Pemprov KalBar</t>
  </si>
  <si>
    <t>Gubernur</t>
  </si>
  <si>
    <t>97/NK-PEM/2022</t>
  </si>
  <si>
    <t>Dirjen PSDKP</t>
  </si>
  <si>
    <t>01/PSDKP/KKP/KB/VII/2022</t>
  </si>
  <si>
    <t>7/29/2022</t>
  </si>
  <si>
    <t>7/29/2025</t>
  </si>
  <si>
    <t>https://drive.google.com/file/d/1qqAgquiuFjpcjewmXY-NcWwUCWMTtevF/view?usp=drive_link</t>
  </si>
  <si>
    <t>LPPM Universitas Bengkulu</t>
  </si>
  <si>
    <t>Ka. Loka PSPL Serang - Ditjen PRL</t>
  </si>
  <si>
    <t>976/LPSPL.2/PRL/KKP/PKS/IV/2022</t>
  </si>
  <si>
    <t>Kepala PLPPM Univ. Bengkulu</t>
  </si>
  <si>
    <t>921/UN30.15/KS/2022</t>
  </si>
  <si>
    <t>2022-06-04</t>
  </si>
  <si>
    <t>2025-06-04</t>
  </si>
  <si>
    <t>1. Penguatan sumber daya manusia yang mengacu pada implementasi program Merdeka Belajar Kampus Merdeka (MBKM)</t>
  </si>
  <si>
    <t>https://drive.google.com/file/d/1Sgii8PsBdTNsPxFV7CHfwspLGuzPkTQZ/view?usp=share_link</t>
  </si>
  <si>
    <t>03/DJPB.KKP/PKS/11/2022</t>
  </si>
  <si>
    <t>03/PKS/D.1/11/2022</t>
  </si>
  <si>
    <t>2022-07-02</t>
  </si>
  <si>
    <t>2027-07-02</t>
  </si>
  <si>
    <t>1. Fasilitasi pembentukan koperasi bagi kelompok pembudidaya ikan</t>
  </si>
  <si>
    <t>https://drive.google.com/file/d/1CY3Io9Lt8x7HE4GieAOcsb83_xXkzFui/view?usp=share_link</t>
  </si>
  <si>
    <t>Fakultas Pertanian UGM</t>
  </si>
  <si>
    <t>Plt. Kepala PP Kejawanan DJPT</t>
  </si>
  <si>
    <t>47/PPNK/HK.320/1/2022</t>
  </si>
  <si>
    <t>Dekan Faperta UGM</t>
  </si>
  <si>
    <t>13/UN1/FPN/HK/1/2022</t>
  </si>
  <si>
    <t>2022-07-01</t>
  </si>
  <si>
    <t>2027-07-01</t>
  </si>
  <si>
    <t>1. Pengumpulan dan pengolahan data operasional di atas kapal penangkap ikan dan kapal pengangkut ikan dan/atau di pelabuhan perikanan</t>
  </si>
  <si>
    <t>https://drive.google.com/file/d/1kyot_I3unGK7wUoCe380QF0y27l3a3nP/view?usp=share_link</t>
  </si>
  <si>
    <t>Kemenkominfo</t>
  </si>
  <si>
    <t>09/MEN-KP/KB/XI/2022</t>
  </si>
  <si>
    <t>Menkominfo</t>
  </si>
  <si>
    <t>11/22/2022</t>
  </si>
  <si>
    <t>11/22/2025</t>
  </si>
  <si>
    <t>1. Penerapan teknologi informasi dan komunikasi (TIK) untuk mendukung transformasi digital di sektor kelautan dan perikanan</t>
  </si>
  <si>
    <t>https://drive.google.com/file/d/151Uu4i3wn_QyJiqr68gG8Asr-EVYf_AZ/view?usp=share_link</t>
  </si>
  <si>
    <t>Kementerian Ketenagakerjaan</t>
  </si>
  <si>
    <t>08/MEN-KP/KB/IX/2022</t>
  </si>
  <si>
    <t>Menteri Tenaga Kerja</t>
  </si>
  <si>
    <t>M/4/KS.06/IX/2022</t>
  </si>
  <si>
    <t>9/30/2022</t>
  </si>
  <si>
    <t>9/30/2027</t>
  </si>
  <si>
    <t>1. Perencanaan dan pemgembangan ketenagakerjaan</t>
  </si>
  <si>
    <t>https://drive.google.com/file/d/1W6J0RI_ThFrPuD7F4hvvyrYOQkz-Q9wF/view?usp=share_link</t>
  </si>
  <si>
    <t>Kemendikbudristek</t>
  </si>
  <si>
    <t>07/MEN-KP/KB/VIII/2022</t>
  </si>
  <si>
    <t>Menteri DIkbudristek</t>
  </si>
  <si>
    <t>07.1/VII/NK/2022</t>
  </si>
  <si>
    <t>2022-05-08</t>
  </si>
  <si>
    <t>2027-05-08</t>
  </si>
  <si>
    <t>1. Pengembangan sumber daya manusia</t>
  </si>
  <si>
    <t>https://drive.google.com/file/d/1835wKciVoFoLdblBo4_vb3hhYqQzPu76/view?usp=drive_link</t>
  </si>
  <si>
    <t>Kamar Dagang dan Industri Indonesia (KADIN)</t>
  </si>
  <si>
    <t>06/MEN-KP/KB/IV/2022</t>
  </si>
  <si>
    <t>Ketua Umum KADIN</t>
  </si>
  <si>
    <t>MOU/036/DP/IV/2022</t>
  </si>
  <si>
    <t>2027-06-04</t>
  </si>
  <si>
    <t>1. Perencanaan dan pemgembangan dunia usaha di bidang kelautan dan perikanan</t>
  </si>
  <si>
    <t>https://drive.google.com/file/d/1CN_28o13ODek0z-0Tx3idt3SKcBfgwvl/view?usp=share_link</t>
  </si>
  <si>
    <t>Badan Nasional Pencarian dan Pertolongan</t>
  </si>
  <si>
    <t>04/MEN-KP/II/2022</t>
  </si>
  <si>
    <t>Kepala Badan Nasional Pencarian dan Pertolongan</t>
  </si>
  <si>
    <t>MOU-56/KS.01.01/II/BSN-2022</t>
  </si>
  <si>
    <t>2/23/2022</t>
  </si>
  <si>
    <t>2/23/2027</t>
  </si>
  <si>
    <t>https://drive.google.com/file/d/1sC_ELlGgjyUswc-xf4DkJ-dZ-aj5Rc2P/view?usp=share_link</t>
  </si>
  <si>
    <t>Pengurus Besar Nahdlatul Ulama</t>
  </si>
  <si>
    <t>03/MEN-KP/KB/1/2022</t>
  </si>
  <si>
    <t>Ketua Umum PBNU</t>
  </si>
  <si>
    <t>72/A.11.03/01/2022</t>
  </si>
  <si>
    <t>1/31/2022</t>
  </si>
  <si>
    <t>1/31/2027</t>
  </si>
  <si>
    <t>1. Pengembangan kampung nelayan maju</t>
  </si>
  <si>
    <t>https://drive.google.com/file/d/1Sqo_OaF2Q5_oPbY5X4IXZ1SZvaSDurlx/view?usp=share_link</t>
  </si>
  <si>
    <t>PT Bank Negara Indonesia (Persero) TBK</t>
  </si>
  <si>
    <t>02/MEN-KP/KB/I/2022</t>
  </si>
  <si>
    <t>Dirut PT BNI Persero</t>
  </si>
  <si>
    <t>DIR/049</t>
  </si>
  <si>
    <t>1/20/2022</t>
  </si>
  <si>
    <t>1/20/2027</t>
  </si>
  <si>
    <t>https://drive.google.com/file/d/1hbx2Eml7zZkyXmYABLa1IqctimJ0ITLC/view?usp=share_link</t>
  </si>
  <si>
    <t>PT Pos Indonesia</t>
  </si>
  <si>
    <t>05/SJ/KKP/KB/XI/2022</t>
  </si>
  <si>
    <t>Dirut PT Pos Indonesia</t>
  </si>
  <si>
    <t>MOU.297/DIRUT/2022</t>
  </si>
  <si>
    <t>11/30/2022</t>
  </si>
  <si>
    <t>11/30/2027</t>
  </si>
  <si>
    <t>1. Dukungan pelaksanaan program kelautan dan perikanan melalui penyediaan jasa layanan kurir</t>
  </si>
  <si>
    <t>https://drive.google.com/file/d/1n5Q9-oE9vINSvIcFzO5sN72myfD1_HOG/view?usp=share_link</t>
  </si>
  <si>
    <t>Universitas Hang Tuah</t>
  </si>
  <si>
    <t>04/SJ/KKP/KB/XI/2022</t>
  </si>
  <si>
    <t>Rektor Universitas Hang Tuah</t>
  </si>
  <si>
    <t>B/83/UHT.AO/XI/2022</t>
  </si>
  <si>
    <t>11/21/2022</t>
  </si>
  <si>
    <t>11/21/2027</t>
  </si>
  <si>
    <t>1. Peningkatan kapasitas sumber daya manusia kelautan dan perikanan</t>
  </si>
  <si>
    <t>https://drive.google.com/file/d/1-1XfebTQ6e55pp-P9QUu998OqVOdL9VC/view?usp=share_link</t>
  </si>
  <si>
    <t>05/SJ/KKP/PKS/XI/2022</t>
  </si>
  <si>
    <t>Direktur Institutional Banking PT BNI</t>
  </si>
  <si>
    <t>DIR/1044</t>
  </si>
  <si>
    <t>1. -</t>
  </si>
  <si>
    <t>https://drive.google.com/file/d/1RKpEINqbiGHGJBZMrYBxiwuGNOnMcl94/view?usp=share_link</t>
  </si>
  <si>
    <t>Marine Steward Council</t>
  </si>
  <si>
    <t>Regional Director Asia Pacific</t>
  </si>
  <si>
    <t>10/17/2022</t>
  </si>
  <si>
    <t>10/17/2025</t>
  </si>
  <si>
    <t>1. Pengembangan program perbaikan perikanan (Fisheries Improvement Program/FIP) dan dukungan peningkatan aksesibilitas pemasaran hasil perikanan</t>
  </si>
  <si>
    <t>https://drive.google.com/file/d/1XOGsM4XdemffQT_Ak_uOC9Xld4jAxLUn/view?usp=share_link</t>
  </si>
  <si>
    <t>Fakultas Hukum Universitas Diponegoro</t>
  </si>
  <si>
    <t>04/SJ/KKP/PKS/X/2022</t>
  </si>
  <si>
    <t>Dekan FH Undip</t>
  </si>
  <si>
    <t>08/UN7.F1/KS/X/2022</t>
  </si>
  <si>
    <t>10/14/2022</t>
  </si>
  <si>
    <t>10/14/2025</t>
  </si>
  <si>
    <t>https://drive.google.com/file/d/1HHPKDy2jfVJUK7Q9RwRXoswA0MXvdoVf/view?usp=share_link</t>
  </si>
  <si>
    <t>PT Kereta Api Logistik</t>
  </si>
  <si>
    <t>03/SJ/KKP/X/2022</t>
  </si>
  <si>
    <t>Dirut PT Kereta Api Logistik</t>
  </si>
  <si>
    <t>0252/KALOG/PJ/10/2022</t>
  </si>
  <si>
    <t>2022-12-10</t>
  </si>
  <si>
    <t>2027-12-10</t>
  </si>
  <si>
    <t>1. Pengembangan fasilitasi layanan multimoda distribusi hasil kelautan dan perikanan</t>
  </si>
  <si>
    <t>https://drive.google.com/file/d/1NsRb5xNREZE35SQ4Yp6SZUgWDpBQpWCP/view?usp=share_link</t>
  </si>
  <si>
    <t>Yayasan Strategi Konservasi Indonesia</t>
  </si>
  <si>
    <t>02/SJ/KKP/KB/X/2022</t>
  </si>
  <si>
    <t>Direktur Yayasan Strategi Konservasi Indonesia</t>
  </si>
  <si>
    <t>YSKI-001-0CT22</t>
  </si>
  <si>
    <t>2022-11-10</t>
  </si>
  <si>
    <t>2027-11-10</t>
  </si>
  <si>
    <t>1. Pengembangan konsep ekonomi biru berdasarkan pendekatan ekonomi dan sistem dalam kebijakan publik</t>
  </si>
  <si>
    <t>https://drive.google.com/file/d/1zmw_OqrHty6Ma6VqLfAsXEkuGVWzrQyV/view?usp=share_link</t>
  </si>
  <si>
    <t>Ikatan Wanita Pengusaha Indonesia (IWAPI)</t>
  </si>
  <si>
    <t>01/SJ-KKP/KB/II/2022</t>
  </si>
  <si>
    <t>Ketua Umum IWAPI</t>
  </si>
  <si>
    <t>009/IWAPI KKP/11/2022</t>
  </si>
  <si>
    <t>2/25/2022</t>
  </si>
  <si>
    <t>2/25/2027</t>
  </si>
  <si>
    <t>https://drive.google.com/file/d/1nBeAxCfT71IKS8oL1N9IBaTnATCUQAqF/view?usp=share_link</t>
  </si>
  <si>
    <t>Yayasan Masyarakat dan Perikanan Indonesia (MDPI)</t>
  </si>
  <si>
    <t>01/MEN-KP/KB/1/2022</t>
  </si>
  <si>
    <t>Ketua Yayasan MDPI</t>
  </si>
  <si>
    <t>015/MDPI-KB/I/2022</t>
  </si>
  <si>
    <t>1/13/2022</t>
  </si>
  <si>
    <t>1/13/2027</t>
  </si>
  <si>
    <t>1. Penguatan pengumpulan data</t>
  </si>
  <si>
    <t>https://drive.google.com/file/d/1wXet7dWV_Qwf1DQ-g6Yb3wshS98Y5KF4/view?usp=share_link</t>
  </si>
  <si>
    <t>2021</t>
  </si>
  <si>
    <t>BPJS Ketenagakerjaan</t>
  </si>
  <si>
    <t>Kapusdatin</t>
  </si>
  <si>
    <t>03/SJ/KKP/PKS/XII/2021</t>
  </si>
  <si>
    <t>Direktur Kepesertaan</t>
  </si>
  <si>
    <t>PErR/314/122021</t>
  </si>
  <si>
    <t>12/20/2021</t>
  </si>
  <si>
    <t>12/20/2024</t>
  </si>
  <si>
    <t>Tidak Berlaku</t>
  </si>
  <si>
    <t>https://drive.google.com/file/d/14tfZ5M78iXGQL4xweEYpEThU3H6WRn4V/view?usp=share_link</t>
  </si>
  <si>
    <t>05/PT/KKP/PKS/XII/2021</t>
  </si>
  <si>
    <t>PER/305/122021</t>
  </si>
  <si>
    <t>2021-10-12</t>
  </si>
  <si>
    <t>2024-10-12</t>
  </si>
  <si>
    <t>https://drive.google.com/file/d/1GhDoIuuzItwsVIV877w6Mn61Kk_XBYY3/view?usp=share_link</t>
  </si>
  <si>
    <t>Deputi Bidang Perkoperasian 
Deputi Bidang Usaha Mikro 
Deputi Bidang Usaha Kecil dan menengah 
Deputi Bidang Kewirausahaan 
Kementerian Koperasi dan UMKM</t>
  </si>
  <si>
    <t>Dirjen PDS PKP</t>
  </si>
  <si>
    <t>02/PDSPKP/KKP/PKS/X/2021</t>
  </si>
  <si>
    <t>08/PKS/DEP.1/X/2021
250/PKS/DEP.2/X/2021
55/PKS/DEP.3/X/2021
36/PKS/DEP.4/X/2021</t>
  </si>
  <si>
    <t>10/21/2021</t>
  </si>
  <si>
    <t>10/21/2026</t>
  </si>
  <si>
    <t>1. Penguatan kelembagaan kelompok usaha masyarakat dan koperasi pengolah dan pemasar produk kelautan dan perikanan</t>
  </si>
  <si>
    <t>https://drive.google.com/file/d/1Ch4sAsBbWKavFtJOXVClD42kG90fnRxN/view?usp=share_link</t>
  </si>
  <si>
    <t>Dirjen PKTN Kemdag</t>
  </si>
  <si>
    <t>09/PKS-DJPSDKP/X/2021</t>
  </si>
  <si>
    <t>01/PKTN/PERJ/10/2021</t>
  </si>
  <si>
    <t>10/18/2021</t>
  </si>
  <si>
    <t>https://drive.google.com/file/d/1467Ff0DYmjMkySUQZPfjWdwXQZLcSV6o/view?usp=share_link</t>
  </si>
  <si>
    <t>Ditjen Perlindungan Konsumen dan Tertib Niaga Kemendag</t>
  </si>
  <si>
    <t>Dirjen Perlindungan Konsumen dan Tertib Niaga</t>
  </si>
  <si>
    <t>https://drive.google.com/file/d/1AsTlJZEgQRujh6m3Dhmycb415f79qFUJ/view?usp=drive_link</t>
  </si>
  <si>
    <t>Deputi Pemberantasan BNN "D 
Ditjen Bea Cukai, Kemenkeu 
Ditjen Perhubungan Laut, Kemenhub
POLRI</t>
  </si>
  <si>
    <t>Deputi Pemberantasan, BNN</t>
  </si>
  <si>
    <t>PKS/51/IX//2021/BNN</t>
  </si>
  <si>
    <t>08/PKS_DJPSDKP/IX/2021</t>
  </si>
  <si>
    <t>9/14/2021</t>
  </si>
  <si>
    <t>9/14/2024</t>
  </si>
  <si>
    <t>https://drive.google.com/file/d/1vAUKT2H5LBQWYrMkr2L6Gm1ST0rP0Vfm/view?usp=drive_link</t>
  </si>
  <si>
    <t>Ditjen Protokoler dan Konsuler Kemenlu</t>
  </si>
  <si>
    <t>Dirjen Protokoler dan Konsuler</t>
  </si>
  <si>
    <t>PRJ/PK/00027/09/2021/64</t>
  </si>
  <si>
    <t>07/PKS-DJPSDKP/VIII/2021</t>
  </si>
  <si>
    <t>8/19/2021</t>
  </si>
  <si>
    <t>8/19/2026</t>
  </si>
  <si>
    <t>1. Pertukaran dan pemanfaatan data dan informasi</t>
  </si>
  <si>
    <t>https://drive.google.com/file/d/1FnfqeaZOZy9TMycodhe6fr1I5POKmyDr/view?usp=drive_link</t>
  </si>
  <si>
    <t>Kejaksaan RI</t>
  </si>
  <si>
    <t>Irjen KKP</t>
  </si>
  <si>
    <t>12.13/ITJ/VIII/2021</t>
  </si>
  <si>
    <t>Jaksa Agung Muda Intelijen</t>
  </si>
  <si>
    <t>B-1008/D/Dpp/08/2021</t>
  </si>
  <si>
    <t>8/13/2021</t>
  </si>
  <si>
    <t>8/13/2024</t>
  </si>
  <si>
    <t>https://drive.google.com/file/d/1U4XAldEfNR_ucjSSMIrJ0hamoh4zaF-d/view?usp=share_link</t>
  </si>
  <si>
    <t>PT POS Indonesia</t>
  </si>
  <si>
    <t>Kepala SKIPM Bandung</t>
  </si>
  <si>
    <t>650/47.0/KS.300/V/2021</t>
  </si>
  <si>
    <t>Kepala Kantor Regional 5 POS</t>
  </si>
  <si>
    <t>1495/ Regional5/Penjualan Korporat/0521</t>
  </si>
  <si>
    <t>2021-05-05</t>
  </si>
  <si>
    <t>2023-05-05</t>
  </si>
  <si>
    <t>https://drive.google.com/file/d/19CE3R7ihv9oiiGGRWbqOF2i7fk9wS1KW/view?usp=share_link</t>
  </si>
  <si>
    <t>LPPM Unsoed</t>
  </si>
  <si>
    <t>Ketua LPPM</t>
  </si>
  <si>
    <t>T/1294/UN.23.18/HK.06.00/2021</t>
  </si>
  <si>
    <t>03/PKS-DJPSDKP/III/2021</t>
  </si>
  <si>
    <t>3/26/2021</t>
  </si>
  <si>
    <t>3/26/2024</t>
  </si>
  <si>
    <t>https://drive.google.com/file/d/1jkL6sr4HuPnQH4uwmXlXB2VJPMOhzdhR/view?usp=drive_link</t>
  </si>
  <si>
    <t>Provinsi Jawa Barat</t>
  </si>
  <si>
    <t>Kadis Kelautan dan Perikanan Jawa Barat</t>
  </si>
  <si>
    <t>1655/HK.02.01/DKP</t>
  </si>
  <si>
    <t>02/PKS-DJPSDKP/III/2021</t>
  </si>
  <si>
    <t>3/18/2021</t>
  </si>
  <si>
    <t>3/18/2026</t>
  </si>
  <si>
    <t>1. Pengawasan pengelolaan sumber daya kelautan dan perikanan</t>
  </si>
  <si>
    <t>https://drive.google.com/file/d/1jm95_5j3nXBJRgR2DIxLEMldomV3bNmN/view?usp=drive_link</t>
  </si>
  <si>
    <t>Perpusnas</t>
  </si>
  <si>
    <t>11/MEN-KP/KB/XI/2021</t>
  </si>
  <si>
    <t>Kepala Perpusnas</t>
  </si>
  <si>
    <t>484/PKS/XI.2021</t>
  </si>
  <si>
    <t>9/92021</t>
  </si>
  <si>
    <t>2024-09-09</t>
  </si>
  <si>
    <t>https://drive.google.com/file/d/1eMIZ6e716tTT_pzmeu3LXk3wXije1JE2/view?usp=share_link</t>
  </si>
  <si>
    <t>BPS</t>
  </si>
  <si>
    <t>13/MEN-KP/KB/XII/2021</t>
  </si>
  <si>
    <t>Kepala BPS</t>
  </si>
  <si>
    <t>17/KS.M/15-XII/2021</t>
  </si>
  <si>
    <t>12/15/2021</t>
  </si>
  <si>
    <t>12/15/2026</t>
  </si>
  <si>
    <t>1. Penyediaan data kelautan dan perikanan</t>
  </si>
  <si>
    <t>https://drive.google.com/file/d/1TnHQyyv48mjkOuFRomAMxt2xj6Sy5DaG/view?usp=share_link</t>
  </si>
  <si>
    <t>BMKG</t>
  </si>
  <si>
    <t>12/MEN-KP/KB/XI/2021</t>
  </si>
  <si>
    <t>Kepala BMKG</t>
  </si>
  <si>
    <t>Mou/016/KB/DN/XI/2021</t>
  </si>
  <si>
    <t>2021-11-11</t>
  </si>
  <si>
    <t>2026-11-11</t>
  </si>
  <si>
    <t>1. Penyediaan, pemanfaatan, pertukaran, dan penyebarluasan informasi, meteorologi, klimatologi, dan geofisika</t>
  </si>
  <si>
    <t>https://drive.google.com/file/d/1NG8boaNpE3elruq3SIZzTtjcoNtRvpc2/view?usp=share_link</t>
  </si>
  <si>
    <t>Kemen Koperasi UKM</t>
  </si>
  <si>
    <t>10/MEN-KP/KB/VIII/2021</t>
  </si>
  <si>
    <t>Men Koperasi UKM</t>
  </si>
  <si>
    <t>17/KB/M.KUKM/VIII/2021</t>
  </si>
  <si>
    <t>8/21/2021</t>
  </si>
  <si>
    <t>8/21/2026</t>
  </si>
  <si>
    <t>1. Pembinaan dan penguatan kelembagaan kelompok usaha masyarakat dan koperasi di sektor kelautan dan perikanan</t>
  </si>
  <si>
    <t>https://drive.google.com/file/d/1bqZ02hK9_r2nOUvFw4nnDiQmD-IHk9-Z/view?usp=share_link</t>
  </si>
  <si>
    <t>09/MEN-KP/KB/VII/2021</t>
  </si>
  <si>
    <t>Menteri Pertanian</t>
  </si>
  <si>
    <t>06/MoU/HK.220/M/07/2021</t>
  </si>
  <si>
    <t>7/28/2021</t>
  </si>
  <si>
    <t>7/28/2025</t>
  </si>
  <si>
    <t>1. Sinkronisasi program peningkatan ketahanan pangan dan gizi</t>
  </si>
  <si>
    <t>https://drive.google.com/file/d/1voWuYnKwzOtsWlaJOF3f5KCYgporerCH/view?usp=share_link</t>
  </si>
  <si>
    <t>Kemenhub</t>
  </si>
  <si>
    <t>08/MEN-KP/KB/VI/2021</t>
  </si>
  <si>
    <t>Menhub</t>
  </si>
  <si>
    <t>PJ 98 Tahun 2021</t>
  </si>
  <si>
    <t>6/28/2021</t>
  </si>
  <si>
    <t>Proses Peninjauan</t>
  </si>
  <si>
    <t>1. Pembiayaan pembangunan infrastruktur pelabuhan laut dan pelabuhan perikanan terintegrasi serta infrastruktur pendukung melalui APBN berdasarkan kesepakatan para pihak dan peraturan dan perundang-undangan</t>
  </si>
  <si>
    <t>https://drive.google.com/file/d/1HfOods9-9Yn8hwN9uVJD3gL-2YXwAN1Z/view?usp=share_link</t>
  </si>
  <si>
    <t>07/MEN-KP/KB/VI/2021</t>
  </si>
  <si>
    <t>9 Tahun 2021</t>
  </si>
  <si>
    <t>6/21/2021</t>
  </si>
  <si>
    <t>6/21/2024</t>
  </si>
  <si>
    <t>https://drive.google.com/file/d/1q1-S9MN-3F9u_oOL4FAWRLx4RFBJ2Z-_/view?usp=share_link</t>
  </si>
  <si>
    <t>IPB</t>
  </si>
  <si>
    <t>06/MEN-KP/KB/VI/2021</t>
  </si>
  <si>
    <t>Rektor IPB</t>
  </si>
  <si>
    <t>75/IT3/HK.07.00-1/P/B/2021</t>
  </si>
  <si>
    <t>6/16/2021</t>
  </si>
  <si>
    <t>6/16/2026</t>
  </si>
  <si>
    <t>https://drive.google.com/file/d/1M-EZHhZR3uX8lq6MEUwOUqSZug291fTq/view?usp=share_link</t>
  </si>
  <si>
    <t>UGM</t>
  </si>
  <si>
    <t>05/MEN-KP/KB/VI/2021</t>
  </si>
  <si>
    <t>Rektor UGM</t>
  </si>
  <si>
    <t>1390/UN1.P/DIT-KAUI/HK/2021</t>
  </si>
  <si>
    <t>2021-11-06</t>
  </si>
  <si>
    <t>2026-11-06</t>
  </si>
  <si>
    <t>https://drive.google.com/file/d/1X_plA_mqifg5BJbUcxVMA37Omo0rireJ/view?usp=share_link</t>
  </si>
  <si>
    <t>DKI</t>
  </si>
  <si>
    <t>04/MEN-KP/KB/V/2021</t>
  </si>
  <si>
    <t>5/27/2021</t>
  </si>
  <si>
    <t>5/27/2026</t>
  </si>
  <si>
    <t>https://drive.google.com/file/d/1DenRtkDFhIivLi1h4cqjO5v_NECe0MOe/view?usp=share_link</t>
  </si>
  <si>
    <t>Kemhan
Kemenkopolhukam
Kemendagri
Kemen PAN RB
Kemendikbud 
Kemenag
Kemenpora
Kemenhub
Kominfo
KKP
Polri
Lembaga Ketahanan Indones
BNPT
BNN</t>
  </si>
  <si>
    <t>03/MEN-KP/KB/V/2021</t>
  </si>
  <si>
    <t>Menhan
Menkopolhukam
Mendagri
Men PAN RB
Mendikbud 
Menag
Menpora
Menhub
Menkominfo
MKP
Kapolri
Lembaga Ketahanan Indonesia
Kepala BNPT
Kepala BNN</t>
  </si>
  <si>
    <t>2021-07-05</t>
  </si>
  <si>
    <t>https://drive.google.com/file/d/142uQ-5sIdz0EHSFgySAnSEiyhw9wXD2L/view?usp=share_link</t>
  </si>
  <si>
    <t>KLHK</t>
  </si>
  <si>
    <t>02/MEN-KP/KB/III/2021</t>
  </si>
  <si>
    <t>Menteri LHK</t>
  </si>
  <si>
    <t>PKS.1/MENLHK/SETJEN/KSA.2/3/2021</t>
  </si>
  <si>
    <t>3/29/2021</t>
  </si>
  <si>
    <t>https://drive.google.com/file/d/1mbkAXKj5gKofYz0AJhD3TRj1VQKh7urt/view?usp=share_link</t>
  </si>
  <si>
    <t>KPPPA</t>
  </si>
  <si>
    <t>01/MEN-KP/KB/I/2021</t>
  </si>
  <si>
    <t>Menteri PPPA</t>
  </si>
  <si>
    <t>02/Men/KL.01/01/2021</t>
  </si>
  <si>
    <t>1/29/2021</t>
  </si>
  <si>
    <t>1/29/2026</t>
  </si>
  <si>
    <t>https://drive.google.com/file/d/1jN7GxsNT6Txg6yoakjQSEYvb-LbcasZE/view?usp=share_link</t>
  </si>
  <si>
    <t>06/SJ-KKP/KB/XII/2021</t>
  </si>
  <si>
    <t>Direktur Utama</t>
  </si>
  <si>
    <t>MOU/20/122021</t>
  </si>
  <si>
    <t>12/72020</t>
  </si>
  <si>
    <t>2020-07-12</t>
  </si>
  <si>
    <t>https://drive.google.com/file/d/1UsqEMlxCIdNVMmh2xgJSc1DEhBh4dIAk/view?usp=share_link</t>
  </si>
  <si>
    <t>05/SJ-KKP/KB/X/2021</t>
  </si>
  <si>
    <t>Ketua</t>
  </si>
  <si>
    <t>542/WWF-ID/LGL-AMD1-01819/XFY21/2021</t>
  </si>
  <si>
    <t>10/26/2021</t>
  </si>
  <si>
    <t>https://drive.google.com/file/d/1iV9qseZj-s0MWss2Ku9NehzRhyf-Qk3b/view?usp=share_link</t>
  </si>
  <si>
    <t>VP RARE</t>
  </si>
  <si>
    <t>2021-08-10</t>
  </si>
  <si>
    <t>2024-08-10</t>
  </si>
  <si>
    <t>https://drive.google.com/file/d/1hz8yzCzb7SeXBhexWfm1CjxRiJ2MnACE/view?usp=share_link</t>
  </si>
  <si>
    <t>Kemenkomarves
KLHK
KKP
PT PELINDO I,II,III,IV
GAPKI
APHI
APROBI</t>
  </si>
  <si>
    <t>03/SJ-KKP/KB/VIII/2021</t>
  </si>
  <si>
    <t>Deputi Pengelolaan Lingkungan
Sekjen KLHK
Sekjen KKP
Dirut PT PELINDO I,II,III,IV
GAPKI
APHI
APROBI</t>
  </si>
  <si>
    <t>8/NKB/MARVES/2021
PKS.2/SETJEN/ROCAN/SET.1/8/2021
03/SJ-KKP/KB/VIII/2021
UM.57/37/20/PI-21.TU
018/SPK/GAPKI/VIII/2021
MOU APHI 365/DP-APHI/Vlll/2021
050/VIII-APROBI/2021</t>
  </si>
  <si>
    <t>2021-10-08</t>
  </si>
  <si>
    <t>2025-10-08</t>
  </si>
  <si>
    <t>https://drive.google.com/file/d/1P6_GJp4sSqydosLtceBqTJWPnoKK1DDg/view?usp=share_link</t>
  </si>
  <si>
    <t>PLN</t>
  </si>
  <si>
    <t>02/SJ-KKP/KB/IV/2021</t>
  </si>
  <si>
    <t>Dirut PLN</t>
  </si>
  <si>
    <t>0026.MoU/HKM.02.02/C01000000/2021</t>
  </si>
  <si>
    <t>4/13/2021</t>
  </si>
  <si>
    <t>4/13/2024</t>
  </si>
  <si>
    <t>https://drive.google.com/file/d/1toTwSEQLYHdnQoRFqlJc_h2PIx2Ev173/view?usp=share_link</t>
  </si>
  <si>
    <t>YKAN</t>
  </si>
  <si>
    <t>01/SJ-KKP/KB/III/2021</t>
  </si>
  <si>
    <t>096/LTR/YKAN/JKT/ED/III/2021</t>
  </si>
  <si>
    <t>2021-10-03</t>
  </si>
  <si>
    <t>2026-10-03</t>
  </si>
  <si>
    <t>https://drive.google.com/file/d/1CBLuK75sRvWwbNDwLs37YVe3wNH_ffEk/view?usp=share_link</t>
  </si>
  <si>
    <t>2020</t>
  </si>
  <si>
    <t>KPK</t>
  </si>
  <si>
    <t>05/SJ-KKP/PKS/XII/2020</t>
  </si>
  <si>
    <t>Deputi Pengawasan Internal</t>
  </si>
  <si>
    <t>372 tahun 2020</t>
  </si>
  <si>
    <t>12/21/2020</t>
  </si>
  <si>
    <t>12/21/2025</t>
  </si>
  <si>
    <t>https://drive.google.com/file/d/1oWYNZ0XKVaMabDZ1PUbpdKUGoaHxLLRS/view?usp=share_link</t>
  </si>
  <si>
    <t>Divisi Hubungan Internasional POLRI</t>
  </si>
  <si>
    <t>05/PKS-DJPSDKP//XII/2020</t>
  </si>
  <si>
    <t>Kadiv Hubungan Internasional POLRI</t>
  </si>
  <si>
    <t>PKS/82/XII/2020</t>
  </si>
  <si>
    <t>12/15/2020</t>
  </si>
  <si>
    <t>12/15/2023</t>
  </si>
  <si>
    <t>https://drive.google.com/file/d/1urKeunVapMoF3uW3ONnGylIHc-52RZ34/view?usp=drive_link</t>
  </si>
  <si>
    <t>Fakultas Kelautan dan Perikanan UNSYIAH</t>
  </si>
  <si>
    <t>Dekan</t>
  </si>
  <si>
    <t>B/239/UN11/HK.07.00/2020</t>
  </si>
  <si>
    <t>Ka. Pangkalan PSDKP Lampulo</t>
  </si>
  <si>
    <t>0909/LAN.1/HK.320/XI/2020</t>
  </si>
  <si>
    <t>11/25/2020</t>
  </si>
  <si>
    <t>11/25/2025</t>
  </si>
  <si>
    <t>https://drive.google.com/file/d/1MqwQxqIhfy7OtpP6mKZfa33Uya6t1bwR/view?usp=drive_link</t>
  </si>
  <si>
    <t>Fakultas Biologi Unsoed</t>
  </si>
  <si>
    <t>T/499/UN.23.06/HK.06/2020</t>
  </si>
  <si>
    <t>Ka. Stasiun PSDKP Cilacap</t>
  </si>
  <si>
    <t>2121/STA.1/HK.320/XI/2020</t>
  </si>
  <si>
    <t>11/13/2020</t>
  </si>
  <si>
    <t>11/13/2023</t>
  </si>
  <si>
    <t>https://drive.google.com/file/d/1DEuAdnNORt8SFRIi4cSDrVAnsv7mlpg2/view?usp=drive_link</t>
  </si>
  <si>
    <t>BNI</t>
  </si>
  <si>
    <t>4351/SJ.7/HK.320/X/2020</t>
  </si>
  <si>
    <t>Kadiv Hubungan Kelembagaan</t>
  </si>
  <si>
    <t>HLB/061/PKS/2020</t>
  </si>
  <si>
    <t>10/21/2020</t>
  </si>
  <si>
    <t>10/21/2025</t>
  </si>
  <si>
    <t>https://drive.google.com/file/d/1Gl6nbsrm4wy61j1xKloHun2XSF97UyfA/view?usp=share_link</t>
  </si>
  <si>
    <t>PT Grab Teknologi Indonesia</t>
  </si>
  <si>
    <t>Dirjen PDSPKP</t>
  </si>
  <si>
    <t>03/PDSPKP/KKP/KB/VIII/2020</t>
  </si>
  <si>
    <t>Dirut PT Grab</t>
  </si>
  <si>
    <t>013/GRAB-KKP/MOU-BD/VIII/2020</t>
  </si>
  <si>
    <t>8/19/2020</t>
  </si>
  <si>
    <t>8/19/2025</t>
  </si>
  <si>
    <t>https://drive.google.com/file/d/1zczjeRxH7m288CnspwRp3s4dIsxp_j6n/view?usp=share_link</t>
  </si>
  <si>
    <t>PT Tani Grup Indonesia</t>
  </si>
  <si>
    <t>01/PDSPKP/KKP/KB/VIII/2020</t>
  </si>
  <si>
    <t>Presiden PT Tani Grup</t>
  </si>
  <si>
    <t>007/LGL-TGI/MOU/VIII/2020</t>
  </si>
  <si>
    <t>1</t>
  </si>
  <si>
    <t>Berhenti</t>
  </si>
  <si>
    <t>https://drive.google.com/file/d/1XZczQFfr0XDZSXaMm9OvDgUUXLQzX3cZ/view?usp=share_link</t>
  </si>
  <si>
    <t>PT Aruna Jaya Nuswantara</t>
  </si>
  <si>
    <t>02/PDSPKP/KKP/PKS/VIII/2020</t>
  </si>
  <si>
    <t>Dirut</t>
  </si>
  <si>
    <t>014/AJN/PKS/VIII/2020</t>
  </si>
  <si>
    <t>8/19/2023</t>
  </si>
  <si>
    <t>https://drive.google.com/file/d/1xLBSkscQz14Tlx9QtolWGjmsrUiYpHpW/view?usp=share_link</t>
  </si>
  <si>
    <t>Kemenko Polhukam
Kemenkum HAM
Kemenkeu
Kemenhub
KLHK
KKP
TNI
POLRI
Bakamla
PT Pertamina
ANSI
HNSI
Kel. Nelayan Mandiri</t>
  </si>
  <si>
    <t>02/MEN-KP/KB/II/2020</t>
  </si>
  <si>
    <t>Deputi Pertahanan
Dirjen Imigrasi
Dirjen Bea dan Cukai
Dirjen Hubla
Dirjen Pencemaran
Dirjen PT
Asop
Kapolairud
Deputi Operasi dan Latihan
Dirut Pertamina
Ketua ASNI
Ketua HNSI
Ketua Nelayan Mandiri</t>
  </si>
  <si>
    <t>2/21/2020</t>
  </si>
  <si>
    <t>2/21/2021</t>
  </si>
  <si>
    <t>https://drive.google.com/file/d/1J_pP4qsXN-WJFXJOm5RJqlGm5o-4Dbis/view?usp=share_link</t>
  </si>
  <si>
    <t>Kemendes</t>
  </si>
  <si>
    <t>04/MKP-KP/KB/X/2020</t>
  </si>
  <si>
    <t>Menteri Desa PDT</t>
  </si>
  <si>
    <t>28/M/HK.07.01/X/2020</t>
  </si>
  <si>
    <t>10/26/2020</t>
  </si>
  <si>
    <t>10/26/2024</t>
  </si>
  <si>
    <t>https://drive.google.com/file/d/1aDlcZly8mn2w4hoAw6zN6FKlw7nzkbJN/view?usp=share_link</t>
  </si>
  <si>
    <t>PT Pelni</t>
  </si>
  <si>
    <t>05/SJ-KKP/KB/XII/2020</t>
  </si>
  <si>
    <t>Dirut Pelni</t>
  </si>
  <si>
    <t>TH.12.28-01/MOU/2020</t>
  </si>
  <si>
    <t>12/28/2020</t>
  </si>
  <si>
    <t>12/28/2023</t>
  </si>
  <si>
    <t>https://drive.google.com/file/d/1xlPc8evlboW1OjJ8EXuA1je98Z5Cam_g/view?usp=share_link</t>
  </si>
  <si>
    <t>Yayasan Pusat Segitiga Karang (CTC)</t>
  </si>
  <si>
    <t>04/SJ-KKP/KB/XII/2020</t>
  </si>
  <si>
    <t>Ketua Yayasan CTC</t>
  </si>
  <si>
    <t>262/MOU/KKP-CTC/XII/2020</t>
  </si>
  <si>
    <t>https://drive.google.com/file/d/1T4f0PfPMyC59InouQ0557sHedFvEzSlI/view?usp=share_link</t>
  </si>
  <si>
    <t>Bappenas</t>
  </si>
  <si>
    <t>03/SJ-KKP/KB/XII/2020</t>
  </si>
  <si>
    <t>Sestama</t>
  </si>
  <si>
    <t>NKB 18/SES/12/2020</t>
  </si>
  <si>
    <t>12/16/2020</t>
  </si>
  <si>
    <t>12/16/2025</t>
  </si>
  <si>
    <t>https://drive.google.com/file/d/1y3BVHNZxkIPN3fqC7v83rcXFR1x6le4T/view?usp=share_link</t>
  </si>
  <si>
    <t>Kementerian Keuangan</t>
  </si>
  <si>
    <t>04/SJ-KKP/PKS/XII/2020</t>
  </si>
  <si>
    <t>Dirjen Pajak</t>
  </si>
  <si>
    <t>PRJ-20/PJ/2020</t>
  </si>
  <si>
    <t>2020-10-12</t>
  </si>
  <si>
    <t>2025-10-12</t>
  </si>
  <si>
    <t>https://drive.google.com/file/d/16gzUexZxyjEcnMQtdW7qh-G7enq_AfyK/view?usp=share_link</t>
  </si>
  <si>
    <t>Kemenkomarves
Kemenhub
KLHK
KKP
Kemenparekraf
TNI
BIG</t>
  </si>
  <si>
    <t>02/SJ-KKP/PKS/II/2020</t>
  </si>
  <si>
    <t>Deputi Kedaulatan Maritim
Dirjen Hubla
Sekjen KLHK
Sekjen KKP
Sekjen Kemenparekraf
Kepala Deshidros
Sestama BIG</t>
  </si>
  <si>
    <t>2020-12-02</t>
  </si>
  <si>
    <t>2024-12-02</t>
  </si>
  <si>
    <t>https://drive.google.com/file/d/1733315g6K9dXhFxXhbvavVJQz0nVbhcb/view?usp=share_link</t>
  </si>
  <si>
    <t>01/SJ-KKP/PKS/II/2020</t>
  </si>
  <si>
    <t>2025-12-02</t>
  </si>
  <si>
    <t>https://drive.google.com/file/d/1Toj0gJx3-C2fqeoimjUDyX8KsN-EA4UH/view?usp=share_link</t>
  </si>
  <si>
    <t>03/SJ/KKP/PKS/II/2020</t>
  </si>
  <si>
    <t>Dir. Hubungan Kelembagaan</t>
  </si>
  <si>
    <t>DIR/116.1</t>
  </si>
  <si>
    <t>https://drive.google.com/file/d/1-CKs57dL5FSK1hlj07Yex-LwM--6H4k-/view?usp=share_link</t>
  </si>
  <si>
    <t>2019</t>
  </si>
  <si>
    <t>Pusat Riset dan Pengembangan SDM, BSN</t>
  </si>
  <si>
    <t>Kapus Standardisasi Sistem dan Kepatuhan, BKIPM</t>
  </si>
  <si>
    <t>Kapus Riset dan Pengembangan SDM, BSN</t>
  </si>
  <si>
    <t>8/21/2019</t>
  </si>
  <si>
    <t>8/21/2024</t>
  </si>
  <si>
    <t>https://drive.google.com/file/d/1v8AtoziXmmF1WRvqBYTbL0E2d9HP1sRi/view?usp=drive_link</t>
  </si>
  <si>
    <t>Ditjen Kesehatan Masyarakat, Kemenkes</t>
  </si>
  <si>
    <t>Dirjen Kesehatan Masyarakat</t>
  </si>
  <si>
    <t>HK.03.01/V/1801/2019</t>
  </si>
  <si>
    <t>11/PDSPKP-KKP/PKS/XII/2019</t>
  </si>
  <si>
    <t>12/14/2019</t>
  </si>
  <si>
    <t>12/14/2024</t>
  </si>
  <si>
    <t>https://drive.google.com/file/d/1coqP9fUgxH2nNyrw9EFG13k7kWrUVOIj/view?usp=drive_link</t>
  </si>
  <si>
    <t>Balai Besar Kalibrasi Fasilitas Penerbangan, DitJen HubUd, Kemenhub</t>
  </si>
  <si>
    <t>Dir. POA, DitJen PSDKP</t>
  </si>
  <si>
    <t>010/PKS-DJPSDKP/XII/2019</t>
  </si>
  <si>
    <t>Direktur Balai Besar</t>
  </si>
  <si>
    <t>HK.201/3/5/BBKFP-2019</t>
  </si>
  <si>
    <t>2019-11-12</t>
  </si>
  <si>
    <t>https://drive.google.com/file/d/1k0oiY53QMRzH0xzmUaoMW4oddpsA_Qnh/view?usp=drive_link</t>
  </si>
  <si>
    <t>Yayasan Pendidikan Pembinaan Manajemen</t>
  </si>
  <si>
    <t>Dir. Jasa PengembanganEksekutif PPM Manajemen</t>
  </si>
  <si>
    <t>Plt. Sesditjen PSDKP</t>
  </si>
  <si>
    <t>32133/PSDKP.0.2.1/KS.300/X/2019</t>
  </si>
  <si>
    <t>10/31/2019</t>
  </si>
  <si>
    <t>2019-12-12</t>
  </si>
  <si>
    <t>https://drive.google.com/file/d/122-oRSs0VTtXGvq6NllJbHWhrbwLQzpp/view?usp=drive_link</t>
  </si>
  <si>
    <t>BNN</t>
  </si>
  <si>
    <t>Ka. BNN</t>
  </si>
  <si>
    <t>NK/115/X/KA/HK/2019/BNN</t>
  </si>
  <si>
    <t>06/MEN-KP/KB/X/2019</t>
  </si>
  <si>
    <t>10/18/2019</t>
  </si>
  <si>
    <t>https://drive.google.com/file/d/1LaXHYImTYUHOynssS1rNe6R4zHx_CP5K/view?usp=drive_link</t>
  </si>
  <si>
    <t>BRI</t>
  </si>
  <si>
    <t>Direktur BLU LPMUKP</t>
  </si>
  <si>
    <t>01/PKS-LPMUKP/X/2019</t>
  </si>
  <si>
    <t>KaDiv. BRI</t>
  </si>
  <si>
    <t>B.01-BKC/10/2019</t>
  </si>
  <si>
    <t>10/17/2019</t>
  </si>
  <si>
    <t>https://drive.google.com/file/d/1wP2Fw2yRAZpNZi-XaSfK9NkSwrAQTgyF/view?usp=drive_link</t>
  </si>
  <si>
    <t>PT. Pertamina (Persero) Marketing Operation Region VIII</t>
  </si>
  <si>
    <t>SesDitjen PRL</t>
  </si>
  <si>
    <t>5/PRL/KKP/PKS/IX/2019</t>
  </si>
  <si>
    <t>General Manager Marketing Operation Region VIII</t>
  </si>
  <si>
    <t>074/F18400/2019-S7</t>
  </si>
  <si>
    <t>9/25/2019</t>
  </si>
  <si>
    <t>9/25/2022</t>
  </si>
  <si>
    <t>https://drive.google.com/file/d/1iJuh-EovQyCVVQEAl3CEfLEo64wANsVU/view?usp=drive_link</t>
  </si>
  <si>
    <t>Deputi Bid Pencegahan, Perlindungan, dan Deradikalisasi, BNPT</t>
  </si>
  <si>
    <t>HK.02.00/10/2019</t>
  </si>
  <si>
    <t>08/PKS-DJPSDKP/IX/2019</t>
  </si>
  <si>
    <t>2019-10-09</t>
  </si>
  <si>
    <t>2024-10-09</t>
  </si>
  <si>
    <t>https://drive.google.com/file/d/1g8GiIk-gprUDMGqnckFjmaRpgUUCfcgD/view?usp=drive_link</t>
  </si>
  <si>
    <t>BNPT</t>
  </si>
  <si>
    <t>Ka. BNPT</t>
  </si>
  <si>
    <t>HK.02.00/9/2019</t>
  </si>
  <si>
    <t>04/MEN-KP/KB/IX/2019</t>
  </si>
  <si>
    <t>https://drive.google.com/file/d/1wQMLI6sxC3LK65zbhrmng6XvbeVO36hG/view?usp=drive_link</t>
  </si>
  <si>
    <t>POLRI</t>
  </si>
  <si>
    <t>Dir. PSDK, DitJen PSDKP</t>
  </si>
  <si>
    <t>07/PKS-DJPSDKP/IX/2019</t>
  </si>
  <si>
    <t>Ka. LEMDIKLAT POLRI</t>
  </si>
  <si>
    <t>B/106/IX/2019</t>
  </si>
  <si>
    <t>2019-03-09</t>
  </si>
  <si>
    <t>https://drive.google.com/file/d/1m1i2QPQVF3sCLh4Bf5CqfPnmxepdaYfX/view?usp=drive_link</t>
  </si>
  <si>
    <t>BPPT</t>
  </si>
  <si>
    <t>Dir KAPI</t>
  </si>
  <si>
    <t>14/PT/KKP/PKS/VIII/2019</t>
  </si>
  <si>
    <t>Dir.PusTek Rekayasa Industri Maritim</t>
  </si>
  <si>
    <t>/PKS/BPPT-KKP/08/2019</t>
  </si>
  <si>
    <t>-</t>
  </si>
  <si>
    <t>8/27/2019</t>
  </si>
  <si>
    <t>12/31/2019</t>
  </si>
  <si>
    <t>https://drive.google.com/file/d/133iNajsjj71vsGNVP_AyqQpgacvZzoWF/view?usp=drive_link</t>
  </si>
  <si>
    <t>B/90/VII/2019</t>
  </si>
  <si>
    <t>03/MEN-KP/KB/VII/2019</t>
  </si>
  <si>
    <t>7/30/2019</t>
  </si>
  <si>
    <t>7/30/2024</t>
  </si>
  <si>
    <t>https://drive.google.com/file/d/1HhamCeNqsFlAyk_LX3V5_C1ehORG3Enq/view?usp=drive_link</t>
  </si>
  <si>
    <t>Ditjen Bea Cukai
Badan Karantina Pertanian</t>
  </si>
  <si>
    <t>Dir. Teknis Kepabeanan</t>
  </si>
  <si>
    <t>KEP-197/BC/2019</t>
  </si>
  <si>
    <t>Sekretaris BKIPMKHP</t>
  </si>
  <si>
    <t>3408/BKIPM.1/KS.300/VII/2019</t>
  </si>
  <si>
    <t>2019-03-07</t>
  </si>
  <si>
    <t>2022-03-07</t>
  </si>
  <si>
    <t>https://drive.google.com/file/d/1tCoh5p5pnlpI_unakwy4efjzR_YkruAu/view?usp=drive_link</t>
  </si>
  <si>
    <t>Pusdik Intelkam Lemdiklat POLRI</t>
  </si>
  <si>
    <t>Ka.Puskari</t>
  </si>
  <si>
    <t>471/BKIPM.2/TU.210/IV/2019</t>
  </si>
  <si>
    <t>Ka.Pusdik Intelkamlendiklat</t>
  </si>
  <si>
    <t>B/197/IV/HUM.5.1/2019/DIKINTELKAM</t>
  </si>
  <si>
    <t>2019-09-04</t>
  </si>
  <si>
    <t>https://drive.google.com/file/d/1Brgyuapz9DbUIg51othDucFjROgViuAv/view?usp=drive_link</t>
  </si>
  <si>
    <t>Kemenkomar
Kemenhub
KLHK
KKP
Kemenpar
TNI
BIG</t>
  </si>
  <si>
    <t>Menkomar</t>
  </si>
  <si>
    <t>03/NKB/MARITIM//III/2019</t>
  </si>
  <si>
    <t>Menhub
Men LHK
MKP
Menpar
Panglima TNI
Ka. BIG</t>
  </si>
  <si>
    <t>03/MEN-KP/KB/III/2019</t>
  </si>
  <si>
    <t>3/26/2019</t>
  </si>
  <si>
    <t>https://drive.google.com/file/d/1IzL9kIJFNTFZZ7mNbChD-lVxeWrdtBKd/view?usp=drive_link</t>
  </si>
  <si>
    <t>12/PT/KKP/PKS/III/2019</t>
  </si>
  <si>
    <t>Dekan FPIK Undip</t>
  </si>
  <si>
    <t>003/UN7.5.10/KS/III/2019</t>
  </si>
  <si>
    <t>3/21/2019</t>
  </si>
  <si>
    <t>3/21/2022</t>
  </si>
  <si>
    <t>https://drive.google.com/file/d/1ggv7ayCz48n58E5rg1ER23uaQ1RRt-st/view?usp=drive_link</t>
  </si>
  <si>
    <t>Ditjen HubLa, Kemenhub</t>
  </si>
  <si>
    <t>Dirjen PT, KKP</t>
  </si>
  <si>
    <t>01/PT/KKP/PKS/III/2019</t>
  </si>
  <si>
    <t>Dirjen HubLa, Kemenhub</t>
  </si>
  <si>
    <t>HK.201/2/17/DJPL/2019</t>
  </si>
  <si>
    <t>2019-05-03</t>
  </si>
  <si>
    <t>2021-05-03</t>
  </si>
  <si>
    <t>https://drive.google.com/file/d/1Au2lYA_1GNJiN-yr4cxWfg3YMVybnnqz/view?usp=drive_link</t>
  </si>
  <si>
    <t>Angkasa Pura I</t>
  </si>
  <si>
    <t>Ka. BKIPMKHP</t>
  </si>
  <si>
    <t>866/BKIPM/II/2019</t>
  </si>
  <si>
    <t>SP.32/HK.09.01/2019/DU</t>
  </si>
  <si>
    <t>2/14/2019</t>
  </si>
  <si>
    <t>2/14/2024</t>
  </si>
  <si>
    <t>https://drive.google.com/file/d/10JsXop2Ib3HDy1loZ3C_oeco6bBZZIa0/view?usp=drive_link</t>
  </si>
  <si>
    <t>PT. ASTRA Daihatsu Motor</t>
  </si>
  <si>
    <t>04/PRL/KKP/PKS/II/2019</t>
  </si>
  <si>
    <t>Direktur Marketing</t>
  </si>
  <si>
    <t>001/CSR-ADM/PKS/-2/19</t>
  </si>
  <si>
    <t>2/13/2019</t>
  </si>
  <si>
    <t>2/13/2022</t>
  </si>
  <si>
    <t>https://drive.google.com/file/d/1KaYmS3TSqlQW8bxEHsruYvavY3_HBmup/view?usp=drive_link</t>
  </si>
  <si>
    <t>Dinas KP Jabar</t>
  </si>
  <si>
    <t>KaDin KP Jabar</t>
  </si>
  <si>
    <t>065/lan.3/HK.320/IV/2019</t>
  </si>
  <si>
    <t>Ka. PSDKP Jakarta</t>
  </si>
  <si>
    <t>119/3572/PSDKP</t>
  </si>
  <si>
    <t>2019-04-02</t>
  </si>
  <si>
    <t>https://drive.google.com/file/d/1_8xqFXTeHoDCJ8uI-rSklLtYhnKO_Jsq/view?usp=drive_link</t>
  </si>
  <si>
    <t>Yayasan Penyu Indonesia</t>
  </si>
  <si>
    <t>Ka. BPSPL Padang</t>
  </si>
  <si>
    <t>02/BPSPL.01/PRL/KKP/PKS/I/2019</t>
  </si>
  <si>
    <t>Ketua YPI</t>
  </si>
  <si>
    <t>01/YPI/PKS/I/2019</t>
  </si>
  <si>
    <t>1/16/2019</t>
  </si>
  <si>
    <t>1/16/2022</t>
  </si>
  <si>
    <t>https://drive.google.com/file/d/1GECp280aJJdkSjQe6lJqWPi0sWn0Upn7/view?usp=drive_link</t>
  </si>
  <si>
    <t>08/MEN-KP/KB/XII/2019</t>
  </si>
  <si>
    <t>MenHub</t>
  </si>
  <si>
    <t>PJ.105 TAHUN 2019</t>
  </si>
  <si>
    <t>2019-04-12</t>
  </si>
  <si>
    <t>2024-04-12</t>
  </si>
  <si>
    <t>https://drive.google.com/file/d/1LU1BdrodGlj03qHB9zX7uR9c-q_in0ZG/view?usp=drive_link</t>
  </si>
  <si>
    <t>BAKAMLA</t>
  </si>
  <si>
    <t>07/MEN-KP/KB/X/2019</t>
  </si>
  <si>
    <t>Ka.BAKAMLA</t>
  </si>
  <si>
    <t>SP - 029/BAKAMLA/X/2019</t>
  </si>
  <si>
    <t>https://drive.google.com/file/d/1K-EX6R5ot3cPszGCCj0FiOijqyz0tgob/view?usp=drive_link</t>
  </si>
  <si>
    <t>HKBP</t>
  </si>
  <si>
    <t>05.2/MEN-KP/KB/IX/2019</t>
  </si>
  <si>
    <t>Ephorus HKBP</t>
  </si>
  <si>
    <t>1379/L19/IX/2019</t>
  </si>
  <si>
    <t>9/15/2019</t>
  </si>
  <si>
    <t>https://drive.google.com/file/d/1bwc9nRCX80-_Y83PyJsM_MJ40vGma0Ej/view?usp=drive_link</t>
  </si>
  <si>
    <t>BNP2TKI</t>
  </si>
  <si>
    <t>05.1/MEN-KP/KB/IX/2019</t>
  </si>
  <si>
    <t>Ka.BNP2TKI</t>
  </si>
  <si>
    <t>B.12/Ka-MoU/IX/2019</t>
  </si>
  <si>
    <t>https://drive.google.com/file/d/1sDpEWO8BMnmOWGK44LTknkVLhQDERdY_/view?usp=drive_link</t>
  </si>
  <si>
    <t>LIPI</t>
  </si>
  <si>
    <t>05/MEN-KP/KB/IX/2019</t>
  </si>
  <si>
    <t>Ka. LIPI</t>
  </si>
  <si>
    <t>61/KS/LIPI/IX/2019</t>
  </si>
  <si>
    <t>2019-09-09</t>
  </si>
  <si>
    <t>https://drive.google.com/file/d/1GbguVhlSkbGqibI7P6OYmQlL2Mmsbd9l/view?usp=drive_link</t>
  </si>
  <si>
    <t>BNPB</t>
  </si>
  <si>
    <t>02/MEN-KP/KB/III/2019</t>
  </si>
  <si>
    <t>Ka.BNPB</t>
  </si>
  <si>
    <t>17/BNPB/III/2019</t>
  </si>
  <si>
    <t>2019-08-03</t>
  </si>
  <si>
    <t>2024-08-03</t>
  </si>
  <si>
    <t>https://drive.google.com/file/d/1nwzgpeJoqUcZM42G9thqpwjZy2MAK9_d/view?usp=drive_link</t>
  </si>
  <si>
    <t>TNI</t>
  </si>
  <si>
    <t>01/MEN-KP/KB/II/2019</t>
  </si>
  <si>
    <t>Panglima TNI</t>
  </si>
  <si>
    <t>NK/1/II/2019/TNI</t>
  </si>
  <si>
    <t>2019-11-02</t>
  </si>
  <si>
    <t>2024-11-02</t>
  </si>
  <si>
    <t>https://drive.google.com/file/d/1XV53pH93iaS7Qkf0T_FnVywTGJYVX-lX/view?usp=drive_link</t>
  </si>
  <si>
    <t>04/SJ-KKP/KB/XII/2019</t>
  </si>
  <si>
    <t>Dirut BPJS Ketenagakerjaan</t>
  </si>
  <si>
    <t>MoU/21/122019</t>
  </si>
  <si>
    <t>2022-04-12</t>
  </si>
  <si>
    <t>https://drive.google.com/file/d/1G95ki7azFu3kYeYVFU4r9sgDOvhuSPth/view?usp=drive_link</t>
  </si>
  <si>
    <t>WWF Indonesia</t>
  </si>
  <si>
    <t>03/SJ-KKP/KB/X/2019</t>
  </si>
  <si>
    <t>CEO WWF Indonesia</t>
  </si>
  <si>
    <t>018/WWF-ID/LGL-MOU-20014/X/FY20/2019</t>
  </si>
  <si>
    <t>10/18/2022</t>
  </si>
  <si>
    <t>https://drive.google.com/file/d/1HwIXsHhBrRTJ_JkSbYknq41YHpMh03GC/view?usp=drive_link</t>
  </si>
  <si>
    <t>01/SJ/KKP/PKS/X/2019</t>
  </si>
  <si>
    <t>Dir. Bisnis Mikro</t>
  </si>
  <si>
    <t>B.1475-DIR/IMR/10/2019</t>
  </si>
  <si>
    <t>2019-10-10</t>
  </si>
  <si>
    <t>https://drive.google.com/file/d/1Th52zIDxFWpdeZG5oNSgDsETa4Z3LPxZ/view?usp=drive_link</t>
  </si>
  <si>
    <t>SFPF</t>
  </si>
  <si>
    <t>Direktur Program</t>
  </si>
  <si>
    <t>9/17/2019</t>
  </si>
  <si>
    <t>9/17/2022</t>
  </si>
  <si>
    <t>https://drive.google.com/file/d/1yiOsHATqph9TH5UMRMe-GhebxOMTREi3/view?usp=drive_link</t>
  </si>
  <si>
    <t>Biro Klasifikasi Indonesia (PERSERO)</t>
  </si>
  <si>
    <t>02/SJ-KKP/KB/IX/2019</t>
  </si>
  <si>
    <t>B.8471/HK.503/KI-19</t>
  </si>
  <si>
    <t>https://drive.google.com/file/d/1HS2NbKxdbG8Ga0bQi-FKnLmvM_Bur9tZ/view?usp=drive_link</t>
  </si>
  <si>
    <t>MSC</t>
  </si>
  <si>
    <t>8/27/2022</t>
  </si>
  <si>
    <t>https://drive.google.com/file/d/1j-EENT-gVEBf6IKh1d934HNegSoouwe5/view?usp=drive_link</t>
  </si>
  <si>
    <t>EDF</t>
  </si>
  <si>
    <t>VP Asia Pasific EDF</t>
  </si>
  <si>
    <t>2022-09-04</t>
  </si>
  <si>
    <t>https://drive.google.com/file/d/1WVmvwvcw9frC6quS3fxQ0UP60HkwbSEa/view?usp=drive_link</t>
  </si>
  <si>
    <t>2018</t>
  </si>
  <si>
    <t>Kabupaten Karangasem</t>
  </si>
  <si>
    <t>Bupati Karangasem</t>
  </si>
  <si>
    <t>075/311/KB/AD.PEM/2018</t>
  </si>
  <si>
    <t>11/DJPB-KKP/KB/VI/2018</t>
  </si>
  <si>
    <t>6/22/2018</t>
  </si>
  <si>
    <t>6/22/2023</t>
  </si>
  <si>
    <t>https://drive.google.com/file/d/1G96b-GHvTiWM-1zAtORhzI2jCKgs2DTy/view?usp=drive_link</t>
  </si>
  <si>
    <t>PT. Garam</t>
  </si>
  <si>
    <t>Dir Jasa Kelautan</t>
  </si>
  <si>
    <t>02/PRL/KKP/PKS/V/2018</t>
  </si>
  <si>
    <t>Dir. Operasi</t>
  </si>
  <si>
    <t>20/KS/V/2018</t>
  </si>
  <si>
    <t>5/23/2018</t>
  </si>
  <si>
    <t>5/23/2021</t>
  </si>
  <si>
    <t>https://drive.google.com/file/d/1VbEzFPcKcVnZ7-uRJUKJOtWKm6cykdfw/view?usp=drive_link</t>
  </si>
  <si>
    <t>Universitas Singaperbangsa Karawang</t>
  </si>
  <si>
    <t>Dir. Poltek KP Karawang</t>
  </si>
  <si>
    <t>259.1/POLTEK.KRW/KS.310/III/2018</t>
  </si>
  <si>
    <t>Rektor Universitas Singaperbangsa Karawang</t>
  </si>
  <si>
    <t>494/UN64/KS/2018</t>
  </si>
  <si>
    <t>https://drive.google.com/file/d/1wDceVrjM9GCJbiTJKXv21UtTPk0mxiRE/view?usp=drive_link</t>
  </si>
  <si>
    <t>Ditjen Dukcapil, Kemendagri</t>
  </si>
  <si>
    <t>Dirjen Dukcapil, Kemendagri</t>
  </si>
  <si>
    <t>119/18561/DUKCAPIL</t>
  </si>
  <si>
    <t>04/SJ/KKP/PKS/X/2018</t>
  </si>
  <si>
    <t>2018-08-10</t>
  </si>
  <si>
    <t>2023-08-10</t>
  </si>
  <si>
    <t>https://drive.google.com/file/d/1XAyKIHSG1KJl-DDKu7SuMzmXD-kMPVIu/view?usp=drive_link</t>
  </si>
  <si>
    <t>Dirjen Hubungan Hukum Keagrariaan, Kementerian Agraria dan Tata Ruang
Dirjen Bina Pembangunan Daerah, Kemendagri
Deputi Bidang Pembiayaan, KemKop UKM, 
Dirjen Prasarana dan Sarana Pertanian, Kementan Dirjen PT, KKP
Dirjen PB, KKP</t>
  </si>
  <si>
    <t>Dirjen Hub Hukum Keagrariaan, Kementerian Agraria dan Tata Ruang</t>
  </si>
  <si>
    <t>29/SKB-400/IV/2018</t>
  </si>
  <si>
    <t>500/1738/Banda/2018 01/PKS/Dep.2/IV/2018 03/MoU/OT.160/B/04/2018 01/PKS/DJPT-KKP/IV/2018 01/DJPB-KKP/PKS/IV/2018</t>
  </si>
  <si>
    <t>2018-05-04</t>
  </si>
  <si>
    <t>2023-05-04</t>
  </si>
  <si>
    <t>https://drive.google.com/file/d/1frADh0fpFOVC1TzolEnD0CtoWDLoCyXs/view?usp=drive_link</t>
  </si>
  <si>
    <t>Lembaga Biologi Molekuler EIJKMAN, RISTEKDIKTI</t>
  </si>
  <si>
    <t>Dirjen PRL</t>
  </si>
  <si>
    <t>5/PRL/KKP/PKS/IX/2018</t>
  </si>
  <si>
    <t>Kepala Lembaga Biologi Molekuler EIJKMAN</t>
  </si>
  <si>
    <t>07.1/Eijk/MoU-18/IX/2018</t>
  </si>
  <si>
    <t>2018-03-09</t>
  </si>
  <si>
    <t>2021-03-09</t>
  </si>
  <si>
    <t>https://drive.google.com/file/d/1YTXEWlo1nJIgEuz4BdqHs2ULp3-xyHFI/view?usp=drive_link</t>
  </si>
  <si>
    <t>Perhimpunan Pelestarian Burung Liar Indonesia</t>
  </si>
  <si>
    <t>03/PRL/KKP/PKS/VII/2018</t>
  </si>
  <si>
    <t>Ketua Dewan Perhimpunan</t>
  </si>
  <si>
    <t>002/PKS-BOGOR/VII/2018</t>
  </si>
  <si>
    <t>2018-11-07</t>
  </si>
  <si>
    <t>2021-11-07</t>
  </si>
  <si>
    <t>https://drive.google.com/file/d/1bvTPSwTDEUSDbfrp6VyROUZmquBWR7co/view?usp=drive_link</t>
  </si>
  <si>
    <t>Badan Ketahanan Pangan
UGM</t>
  </si>
  <si>
    <t>Ka. Badan Ketahanan Pangan</t>
  </si>
  <si>
    <t>B-386/HK.220/J/09/2018</t>
  </si>
  <si>
    <t>05/PDSPKP-KKP/PKS/IX/2018</t>
  </si>
  <si>
    <t>9/18/2018</t>
  </si>
  <si>
    <t>9/18/2021</t>
  </si>
  <si>
    <t>https://drive.google.com/file/d/15aa3HZM08qzh5Ftnc0G1mCybHYP2yCT7/view?usp=drive_link</t>
  </si>
  <si>
    <t>PT. Martina Berto</t>
  </si>
  <si>
    <t>Ka. BBRPPBKP</t>
  </si>
  <si>
    <t>180/BRSDM/KKP/PKS/X/2018</t>
  </si>
  <si>
    <t>Kuasa Direksi</t>
  </si>
  <si>
    <t>49/LGL/MB-BRSDM/X/2018</t>
  </si>
  <si>
    <t>2018-09-10</t>
  </si>
  <si>
    <t>2021-09-10</t>
  </si>
  <si>
    <t>https://drive.google.com/file/d/1xOwrYXEVIqnYOYmu3gEbZRQy4WIO3E8i/view?usp=drive_link</t>
  </si>
  <si>
    <t>BNN Kabupaten Karawang</t>
  </si>
  <si>
    <t>Ka. BNN Kab Karawang</t>
  </si>
  <si>
    <t>PKS/05/V/2018/BNNK KRW</t>
  </si>
  <si>
    <t>520/POLTEK.KRW/KS.320/V/2018</t>
  </si>
  <si>
    <t>5/23/2019</t>
  </si>
  <si>
    <t>https://drive.google.com/file/d/1qXXcO56QutWa03tF2Ydhda0s21YxAxS9/view?usp=drive_link</t>
  </si>
  <si>
    <t>Universitas Halu Oleo</t>
  </si>
  <si>
    <t>Ka. BRSDMKP</t>
  </si>
  <si>
    <t>98/BRSDMKP/KKP/PKS/IX/2018</t>
  </si>
  <si>
    <t>Rektor Universitas Halu Oleo</t>
  </si>
  <si>
    <t>2156/UN29/LL/2018</t>
  </si>
  <si>
    <t>9/15/2018</t>
  </si>
  <si>
    <t>9/15/2021</t>
  </si>
  <si>
    <t>https://drive.google.com/file/d/1YSIZnmXqAeovpdlWZAGN_2EJIVo32v1y/view?usp=drive_link</t>
  </si>
  <si>
    <t>Ka. Pusdatin</t>
  </si>
  <si>
    <t>03/SJ/KKP/PKS/IV/2018</t>
  </si>
  <si>
    <t>Pimpinan Divisi Hubungan Kelembagaan</t>
  </si>
  <si>
    <t>HLB/021/PKS/2018</t>
  </si>
  <si>
    <t>https://drive.google.com/file/d/1W_uh_RYBXWK8_OXbxDftoXHxSWkXX7ET/view?usp=drive_link</t>
  </si>
  <si>
    <t>Pusat Alikasi Isotop dan Radiasi, BATAN</t>
  </si>
  <si>
    <t>Ka. PusRiKel</t>
  </si>
  <si>
    <t>16/BRSDM/KKP/PKS/VIII/2018</t>
  </si>
  <si>
    <t>Ka. Pus Alikasi Isotop dan Radiasi</t>
  </si>
  <si>
    <t>B-2396/BATAN/AIR/KS 00 01/08/2018</t>
  </si>
  <si>
    <t>8/16/2018</t>
  </si>
  <si>
    <t>8/16/2023</t>
  </si>
  <si>
    <t>https://drive.google.com/file/d/1RDTKmVtj7t9CgpTymf-ukc0rfJx9WszZ/view?usp=drive_link</t>
  </si>
  <si>
    <t>LPK Wakashio Gakkou</t>
  </si>
  <si>
    <t>Ka. SUPM Tegal</t>
  </si>
  <si>
    <t>0722/BRSDM-SUPM TGL/KS.310/V/2018</t>
  </si>
  <si>
    <t>General Manager</t>
  </si>
  <si>
    <t>2018-09-05</t>
  </si>
  <si>
    <t>2021-09-05</t>
  </si>
  <si>
    <t>https://drive.google.com/file/d/15XYVQ4qol1wYVTyDN-KxTpctvCc4jks2/view?usp=drive_link</t>
  </si>
  <si>
    <t>TNI AL</t>
  </si>
  <si>
    <t>Kadis Perawatan Personel AL</t>
  </si>
  <si>
    <t>PKS/5/II/2018</t>
  </si>
  <si>
    <t>Ses. BRSDMKP</t>
  </si>
  <si>
    <t>01/BRSDM/KKP/PKS/2018</t>
  </si>
  <si>
    <t>2/21/2018</t>
  </si>
  <si>
    <t>https://drive.google.com/file/d/1e5NNeXMYwZs6QGGOyGd7WPYv8s3mTmlI/view?usp=drive_link</t>
  </si>
  <si>
    <t>FPIK UNIBRAW</t>
  </si>
  <si>
    <t>Kapusdik KP</t>
  </si>
  <si>
    <t>160/BRSDM.4/KS.300/V/2018</t>
  </si>
  <si>
    <t>Dekan FPIK Unibraw</t>
  </si>
  <si>
    <t>2416/UN10.F06/KS/2018</t>
  </si>
  <si>
    <t>2018-02-05</t>
  </si>
  <si>
    <t>2023-02-05</t>
  </si>
  <si>
    <t>https://drive.google.com/file/d/1shsM6VoiO6FN6-4oYVKOpvRJQXn9dArN/view?usp=drive_link</t>
  </si>
  <si>
    <t>Universitas Mulawarman</t>
  </si>
  <si>
    <t>Kepala BRSDMKP</t>
  </si>
  <si>
    <t>64/BRSDM/KKP/KB/IX/2018</t>
  </si>
  <si>
    <t>Rektor Universitas Mulawarman</t>
  </si>
  <si>
    <t>2111/UN17/KS/2018</t>
  </si>
  <si>
    <t>9/19/2018</t>
  </si>
  <si>
    <t>9/19/2021</t>
  </si>
  <si>
    <t>https://drive.google.com/file/d/1jjR3IpqcX4wpY8pkLQTVwmyQ-Rp0W4Bx/view?usp=drive_link</t>
  </si>
  <si>
    <t>04/PDSPKP/KKP/PKS/VII/2018</t>
  </si>
  <si>
    <t>Deputi Bid. Pengawasan Pangan Olahan</t>
  </si>
  <si>
    <t>HK.09.01.5.23.07.82.2844</t>
  </si>
  <si>
    <t>7/30/2018</t>
  </si>
  <si>
    <t>7/30/2023</t>
  </si>
  <si>
    <t>https://drive.google.com/file/d/1iSMciGmH8ntSUhyaeL5-ELGP0VC2Ldwd/view?usp=drive_link</t>
  </si>
  <si>
    <t>SKK Migas</t>
  </si>
  <si>
    <t>07/MEN-KP/KB/X/2018</t>
  </si>
  <si>
    <t>Ka. SKK Migas</t>
  </si>
  <si>
    <t>MOU - 0003/SKKMA0000/2018/SO</t>
  </si>
  <si>
    <t>10/18/2018</t>
  </si>
  <si>
    <t>10/18/2023</t>
  </si>
  <si>
    <t>https://drive.google.com/file/d/18fxyd_EbULlTPv3SlJQK4P8LmdixcQfF/view?usp=drive_link</t>
  </si>
  <si>
    <t>07/MEN-KP/KB/VIII/2018</t>
  </si>
  <si>
    <t>Rektor UNIBRAW</t>
  </si>
  <si>
    <t>085/UN10/KS/2018</t>
  </si>
  <si>
    <t>8/14/2018</t>
  </si>
  <si>
    <t>8/14/2023</t>
  </si>
  <si>
    <t>https://drive.google.com/file/d/1aNypabo7sICCVPnKaEMSBJivuMPQYca_/view?usp=drive_link</t>
  </si>
  <si>
    <t>06/MEN-KP/KB/VIII/2018</t>
  </si>
  <si>
    <t>Rektor UNDIP</t>
  </si>
  <si>
    <t>4902/UN7.P/KS/2018</t>
  </si>
  <si>
    <t>2018-12-08</t>
  </si>
  <si>
    <t>2023-12-08</t>
  </si>
  <si>
    <t>https://drive.google.com/file/d/10HXxjaQVumZ295Gg2wFrO7siR84p1Pg6/view?usp=drive_link</t>
  </si>
  <si>
    <t>Asosiasi Perikanan Pole &amp; Line dan Handline Indonesia (AP2HI)</t>
  </si>
  <si>
    <t>02/PT/KKP/PKS/VI/2018</t>
  </si>
  <si>
    <t>Sekjen AP2HI</t>
  </si>
  <si>
    <t>001/PKS/AP2HI-DJPT/VI/2018</t>
  </si>
  <si>
    <t>2018-01-06</t>
  </si>
  <si>
    <t>2020-01-06</t>
  </si>
  <si>
    <t>https://drive.google.com/file/d/18bxaxYLKGvac8LFVyL42Dle64qHnSTcc/view?usp=drive_link</t>
  </si>
  <si>
    <t>Kemendagri</t>
  </si>
  <si>
    <t>05/MEN-KP/KB/VII/2018</t>
  </si>
  <si>
    <t>Mendagri</t>
  </si>
  <si>
    <t>523/5141/SJ</t>
  </si>
  <si>
    <t>7/24/2018</t>
  </si>
  <si>
    <t>7/24/2023</t>
  </si>
  <si>
    <t>https://drive.google.com/file/d/1r5ePGxu391qLt8MZGJjCtCZZCNI-x-3f/view?usp=drive_link</t>
  </si>
  <si>
    <t>04/MEN-KP/KB/IV/2018</t>
  </si>
  <si>
    <t>Ka. BMKG</t>
  </si>
  <si>
    <t>KS.301/MoU.10/KB/IV/2018</t>
  </si>
  <si>
    <t>4/23/2018</t>
  </si>
  <si>
    <t>4/23/2021</t>
  </si>
  <si>
    <t>https://drive.google.com/file/d/1kU6OF0WWtFPWDfzYFZBR1kiDoefV8sO_/view?usp=drive_link</t>
  </si>
  <si>
    <t>KemenTan</t>
  </si>
  <si>
    <t>01/MEN-KP/KB/I/2018</t>
  </si>
  <si>
    <t>MenTan</t>
  </si>
  <si>
    <t>02/Mou.HK.220/1/2018</t>
  </si>
  <si>
    <t>2018-11-01</t>
  </si>
  <si>
    <t>2020-11-01</t>
  </si>
  <si>
    <t>https://drive.google.com/file/d/1TBVnBVhuClmRgJ-kYElIKeoyto6oSE3S/view?usp=drive_link</t>
  </si>
  <si>
    <t>Dit. Statistik Harga, BPS</t>
  </si>
  <si>
    <t>1/PRL/KKP/PJ/II/2018</t>
  </si>
  <si>
    <t>Dir. Statistik Harga, BPS</t>
  </si>
  <si>
    <t>04A.08.15/KS.P/15-II/2018</t>
  </si>
  <si>
    <t>2/15/2018</t>
  </si>
  <si>
    <t>12/31/2018</t>
  </si>
  <si>
    <t>https://drive.google.com/file/d/1Dwg1ftHUutinLbWF9Y4NXhxEuZE_KGLD/view?usp=drive_link</t>
  </si>
  <si>
    <t>Bank Mandiri</t>
  </si>
  <si>
    <t>1/PB/KKP/PKS/I/2018</t>
  </si>
  <si>
    <t>Direktur Kelembagaan</t>
  </si>
  <si>
    <t>DIR.PKS/002/2018</t>
  </si>
  <si>
    <t>https://drive.google.com/file/d/1Q57OCBW5yIMZXjVlOi2cLF2rCoL9Dx7Z/view?usp=drive_link</t>
  </si>
  <si>
    <t>MDPI</t>
  </si>
  <si>
    <t>02/SJ-KKP/KB/2018</t>
  </si>
  <si>
    <t>Direktur Eksekutif MDPI</t>
  </si>
  <si>
    <t>004/MDPI-KB/XII/2018</t>
  </si>
  <si>
    <t>2018-07-12</t>
  </si>
  <si>
    <t>2022-07-12</t>
  </si>
  <si>
    <t>https://drive.google.com/file/d/1bVbgunScSyGNlRUEBOURJ4FT0Wff0_qE/view?usp=drive_link</t>
  </si>
  <si>
    <t>Pupuk Indonesia (Persero)</t>
  </si>
  <si>
    <t>01/SJ-KKP/KB/V/2018</t>
  </si>
  <si>
    <t>033.1/SP/DIR-D20/2018</t>
  </si>
  <si>
    <t>5/18/2018</t>
  </si>
  <si>
    <t>5/18/2021</t>
  </si>
  <si>
    <t>https://drive.google.com/file/d/1dUDcMQNhIzq3uBwYJhCF6VVBsqZbxWVj/view?usp=drive_link</t>
  </si>
  <si>
    <t>Garuda Indonesia</t>
  </si>
  <si>
    <t>KKP 03/MEN-KP/KB/IV/2018</t>
  </si>
  <si>
    <t>IG/PERJ/MOU/DZ-3092/2018</t>
  </si>
  <si>
    <t>2021-05-04</t>
  </si>
  <si>
    <t>https://drive.google.com/file/d/13EHVEcW1dORnmI1SKBb1V0WB3qVrn9w0/view?usp=drive_link</t>
  </si>
  <si>
    <t>KemKominfo</t>
  </si>
  <si>
    <t>02/SJ/KKP/I/2018</t>
  </si>
  <si>
    <t>Sekjen KemKominfo</t>
  </si>
  <si>
    <t>01/SJ/KOMINFO/HK.03.02/01/2018</t>
  </si>
  <si>
    <t>1/18/2018</t>
  </si>
  <si>
    <t>1/18/2021</t>
  </si>
  <si>
    <t>https://drive.google.com/file/d/1sUzb6pTnDj5BbtbpDFGIjTInhvcWgFIV/view?usp=drive_link</t>
  </si>
  <si>
    <t>PT. PERTAMINA GAS</t>
  </si>
  <si>
    <t>01/SJ/KKP/PKS/I/2018</t>
  </si>
  <si>
    <t>Presiden Direktur</t>
  </si>
  <si>
    <t>004/PG0000/2018-SO</t>
  </si>
  <si>
    <t>1/17/2018</t>
  </si>
  <si>
    <t>1/17/2021</t>
  </si>
  <si>
    <t>https://drive.google.com/file/d/1kBAAJce7Mgs7Q2it6JzPkSl-OxD6SdEk/view?usp=drive_link</t>
  </si>
  <si>
    <t>2017</t>
  </si>
  <si>
    <t>Dir. KAPI</t>
  </si>
  <si>
    <t>01/PKS/DJPT-KKP/4/2017</t>
  </si>
  <si>
    <t>Dir. Pustek Rekayasa Industri Maritim</t>
  </si>
  <si>
    <t>22/PKS/BPPT-KKP/04/2017</t>
  </si>
  <si>
    <t>4/18/2017</t>
  </si>
  <si>
    <t>12/31/2017</t>
  </si>
  <si>
    <t>https://drive.google.com/file/d/1RZuSivXSbxBqj1TJZnOLZsVOb2g5fbJ9/view?usp=drive_link</t>
  </si>
  <si>
    <t>Dir. LPMUKP</t>
  </si>
  <si>
    <t>05/PKS-LPMUKP/VIII/2017</t>
  </si>
  <si>
    <t>Dir. BRI</t>
  </si>
  <si>
    <t>B.973-DIR/INS/08/2017</t>
  </si>
  <si>
    <t>8/25/2017</t>
  </si>
  <si>
    <t>8/25/2022</t>
  </si>
  <si>
    <t>https://drive.google.com/file/d/1WoCJe4-cquw7M9v6Hks6mFkMIrlD4xhP/view?usp=drive_link</t>
  </si>
  <si>
    <t>PT. PERTAMINA</t>
  </si>
  <si>
    <t>Dir. SDM, TI, dan Umum</t>
  </si>
  <si>
    <t>SP-008/K00000/2017-S0</t>
  </si>
  <si>
    <t>01/SJ/KKP/PKS/VI/2017</t>
  </si>
  <si>
    <t>6/21/2017</t>
  </si>
  <si>
    <t>6/21/2022</t>
  </si>
  <si>
    <t>https://drive.google.com/file/d/1io-7-4NMO1QNGUi7rfbgW5UllyOaPmwN/view?usp=drive_link</t>
  </si>
  <si>
    <t>DirJen PRL</t>
  </si>
  <si>
    <t>3/PRL/KKP/PKS/X/2017</t>
  </si>
  <si>
    <t>PKS.259/DIRUT/1017</t>
  </si>
  <si>
    <t>10/31/2017</t>
  </si>
  <si>
    <t>10/31/2020</t>
  </si>
  <si>
    <t>https://drive.google.com/drive/folders/1StF072uFgAhfGrQT-Bzt-qgpchSRc-1c?usp=drive_link</t>
  </si>
  <si>
    <t>Balitbang Kemdikbud</t>
  </si>
  <si>
    <t>I/PRL/KKP/PKS/III/2017</t>
  </si>
  <si>
    <t>Ka. Balitbang Kemdikbud</t>
  </si>
  <si>
    <t>3/13/2017</t>
  </si>
  <si>
    <t>3/13/2020</t>
  </si>
  <si>
    <t>https://drive.google.com/file/d/1mHf_Z4nhfWHhvZek3_QLA5x2HVrlKAoE/view?usp=drive_link</t>
  </si>
  <si>
    <t>Deputi Bidang Pengembangan Kelembagaan Kepariwisataan</t>
  </si>
  <si>
    <t>Ka. BPSDMKP</t>
  </si>
  <si>
    <t>17/BPSDMKP/KKP/PKS/II/2017</t>
  </si>
  <si>
    <t>Ka. Deputi Bidang Pengembangan Kelembagaan Kepariwisataan</t>
  </si>
  <si>
    <t>PK.70/KS.001/DPKP/KEMPAR/2017</t>
  </si>
  <si>
    <t>2017-07-02</t>
  </si>
  <si>
    <t>2020-07-02</t>
  </si>
  <si>
    <t>https://drive.google.com/file/d/1_kD9f72I8GcYV8ChH1w401y1WJt1Xhf9/view?usp=drive_link</t>
  </si>
  <si>
    <t>LKPP</t>
  </si>
  <si>
    <t>Ka. LKPP</t>
  </si>
  <si>
    <t>9 Tahun 2017</t>
  </si>
  <si>
    <t>15/MEN-KP/KB/XII/2017</t>
  </si>
  <si>
    <t>12/13/2017</t>
  </si>
  <si>
    <t>12/13/2020</t>
  </si>
  <si>
    <t>https://drive.google.com/file/d/1BmQHRbB8i_GbaJde0L0jAYaIvJyVY5Ge/view?usp=drive_link</t>
  </si>
  <si>
    <t>07/MEN-KP/KB/VI/2017</t>
  </si>
  <si>
    <t>MenPPPA</t>
  </si>
  <si>
    <t>21/KPP-PA/D.I/06/2017</t>
  </si>
  <si>
    <t>6/16/2017</t>
  </si>
  <si>
    <t>6/16/2020</t>
  </si>
  <si>
    <t>https://drive.google.com/file/d/1S0h1CWFPCtCiwYfP_SI0p1QBAfc17tYx/view?usp=drive_link</t>
  </si>
  <si>
    <t>Kemdikbud</t>
  </si>
  <si>
    <t>04/MEN-KP/KB/II/2017</t>
  </si>
  <si>
    <t>Mendikbud</t>
  </si>
  <si>
    <t>10/II/NK/2017</t>
  </si>
  <si>
    <t>2/25/2017</t>
  </si>
  <si>
    <t>2/25/2020</t>
  </si>
  <si>
    <t>https://drive.google.com/file/d/1TkPnwjQ-A_cm6t0EgQI7i91YondycngJ/view?usp=drive_link</t>
  </si>
  <si>
    <t>Kemenpar</t>
  </si>
  <si>
    <t>03/MEN-KP/KB/II/2017</t>
  </si>
  <si>
    <t>Menpar</t>
  </si>
  <si>
    <t>KB.2/KS.001/MP/2017</t>
  </si>
  <si>
    <t>https://drive.google.com/file/d/1oiaTxQGMAsu5HXKmWqebxKnKsmzKSfza/view?usp=drive_link</t>
  </si>
  <si>
    <t>Yayasan Dana Sejahtera Mandiri Universitas Trilogi</t>
  </si>
  <si>
    <t>01/MEN-KP/KB/II/2017</t>
  </si>
  <si>
    <t>Ketua Yayasan dan Rektor</t>
  </si>
  <si>
    <t>006/MoU//YDSM/I/2017</t>
  </si>
  <si>
    <t>2017-02-02</t>
  </si>
  <si>
    <t>2020-02-02</t>
  </si>
  <si>
    <t>https://drive.google.com/file/d/1YXV0hRDjZERE112QYvogosCS1D69cC77/view?usp=drive_link</t>
  </si>
  <si>
    <t>Universitas Muhaammadiyah Malang</t>
  </si>
  <si>
    <t>05/MEN-KP/KB/II/2017</t>
  </si>
  <si>
    <t>Rektor UMM</t>
  </si>
  <si>
    <t>E.5.c/366/UMM/11/2017</t>
  </si>
  <si>
    <t>https://drive.google.com/file/d/1c2q2vw6sOXmNnvUvmuNJoWHzaVYDy7Dt/view?usp=share_link</t>
  </si>
  <si>
    <t>Himpunan Nelayan Seluruh Indonesia</t>
  </si>
  <si>
    <t>04/PKS/DJPT-KKP/XI/2017</t>
  </si>
  <si>
    <t>Ketua Umum</t>
  </si>
  <si>
    <t>011/DPP HNSI/PKS/XI/2017</t>
  </si>
  <si>
    <t>2017-10-11</t>
  </si>
  <si>
    <t>2022-10-11</t>
  </si>
  <si>
    <t>https://drive.google.com/file/d/1WssyAf_n1CETl0HJN2-OwAILqC8okMLU/view?usp=drive_link</t>
  </si>
  <si>
    <t>03/PKS/DJPT-KKP/VIII/2017</t>
  </si>
  <si>
    <t>B.974-DIR/PPK/08/2017</t>
  </si>
  <si>
    <t>8/25/2020</t>
  </si>
  <si>
    <t>https://drive.google.com/file/d/1OLCNORc7MCsQP-EPCDh3YbmgbdASzW73/view?usp=drive_link</t>
  </si>
  <si>
    <t>LAPAN</t>
  </si>
  <si>
    <t>01/PKS-DJPSDKP/2017</t>
  </si>
  <si>
    <t>Deputi Bidang Teknologi Penerbangan dan Antariksa</t>
  </si>
  <si>
    <t>42840</t>
  </si>
  <si>
    <t>4/18/2020</t>
  </si>
  <si>
    <t>https://drive.google.com/file/d/1rWeo7UxSoYA89wKDKFH6M3gMSBVTmnwQ/view?usp=drive_link</t>
  </si>
  <si>
    <t>04/PB/KKP/IV/2017</t>
  </si>
  <si>
    <t>Deputi Bidang Teknologi Agroindustri dan Bioteknologi,</t>
  </si>
  <si>
    <t>23/PKS/BPPT-KKP/04/2017</t>
  </si>
  <si>
    <t>https://drive.google.com/file/d/17qSm_N12_T53SMH-wzwVQnqoEa_V1vxZ/view?usp=drive_link</t>
  </si>
  <si>
    <t>https://drive.google.com/file/d/1fGrRnlPbl_Qh_NrpDfWEOyQt4t9OaQBM/view?usp=drive_link</t>
  </si>
  <si>
    <t>06/MEN-KP/KB/IV/2017</t>
  </si>
  <si>
    <t>Ka. BPPT</t>
  </si>
  <si>
    <t>18/NK/BPPT-KKP/04/2017</t>
  </si>
  <si>
    <t>https://drive.google.com/file/d/15HhIRKS7FMty_W-pYZpEMsWgZxrGBvQ3/view?usp=drive_link</t>
  </si>
  <si>
    <t>https://drive.google.com/file/d/1qwJGVEfMMLsNFOHFIwlA0nfZwd5gMX_M/view?usp=drive_link</t>
  </si>
  <si>
    <t>Universitas Muslim Indonesia (UMI)</t>
  </si>
  <si>
    <t>Muhammadiyah</t>
  </si>
  <si>
    <t>KemP2MI/BP2MI</t>
  </si>
  <si>
    <t>2026</t>
  </si>
  <si>
    <t>Badan Penyelenggara Jaminan Produk Halal</t>
  </si>
  <si>
    <t>01/MEN-KP/NK/I/2026</t>
  </si>
  <si>
    <t>Ka. BPJPH</t>
  </si>
  <si>
    <t>2 TAHUN 2026</t>
  </si>
  <si>
    <t>2026-07-01</t>
  </si>
  <si>
    <t>2030-07-01</t>
  </si>
  <si>
    <t>1. Berbagi pakai data dan/atau informasi
2. Sosialisasi, edukasi, dan diseminasi kebijakan jaminan produk halal
3. Penguatan daya saing produk kelautan dan perikanan melalui sertifikasi halal
4. Pengawasan jaminan produk halal pada produk kelautan dan perikanan
5. Pemanfaatan laboratorium penguji mutu dalam mendukung sertifikasi halal
6. Pengembangan sumber daya manusia dan pemberdayaan masyarakat kelautan dan perikanan</t>
  </si>
  <si>
    <t>1. 
2. 
3. 
4. 
5. 
6.</t>
  </si>
  <si>
    <t>Tentara Nasional Indonesia</t>
  </si>
  <si>
    <t>02/MEN-KP/NK/I/2026</t>
  </si>
  <si>
    <t>NK/4/II/2026/TNI</t>
  </si>
  <si>
    <t>2026-04-02</t>
  </si>
  <si>
    <t>2031-04-02</t>
  </si>
  <si>
    <t>1. Pendampingan pelaksanaan program pembangunan kelautan dan perikanan
2. Pendampingan dalam peningkatan produksi dan produktivitas komoditas kelautan dan perikanan
3. Pemanfaatan sarana dan prasarana
4. Pengamanan dan pengawasan sumber daya kelautan dan perikanan
5. Peningkatan kapasitas sumber daya manusia
6. Penguatan kegiatan teritorial TNI di sektor kelautan dan perikanan</t>
  </si>
  <si>
    <t>Badan Narkotika Nasional</t>
  </si>
  <si>
    <t>NK/12/II/KA/HK.02/2026/BNN</t>
  </si>
  <si>
    <t>05/MEN-KP/NK/II/2026</t>
  </si>
  <si>
    <t>2/19/2026</t>
  </si>
  <si>
    <t>2/19/2031</t>
  </si>
  <si>
    <t>1. Penyebarluasan Informasi dan edukasi
2. Deteksi dini dan peningkatan peran serta para pihak
3. Peningkatan kapasitas sumber daya manusia
4. Penggunaan bersama sarana dan prasarana para pihak
5. Pertukaran dan pemanfaatan data dan/atau informasi
6. Peningkatan kapasitas korban penyalahgunaan narkotika, psikotropika, dan zat adiktif lainnya melalui rehabilitasi sosial dan kegiatan vokasional bidang kelautan dan perikanan
7. Pemberdayaan ekonomi masyarakat kelautan dan perikanan pada kawasan yang rawan terhadap peredaran gelap narkotika dan prekusor narkotika</t>
  </si>
  <si>
    <t>1. 
2. 
3. 
4. 
5. 
6. 
7.</t>
  </si>
  <si>
    <t>Pusat Pelaporan dan Analisis Transaksi Keuangan</t>
  </si>
  <si>
    <t>06/MEN-KP/NK/II/2026</t>
  </si>
  <si>
    <t>Ka.PPATK</t>
  </si>
  <si>
    <t>NK/04/DN.04/1/II/2026</t>
  </si>
  <si>
    <t>1. Pertukaran informasi
2. Asistensi dan/atau pendampingan
3. Pemberian keterangan ahli
4. Sosialisasi dan edukasi
5. Peningkatan kapasitas sumber daya manusia
6. Analisis strategis</t>
  </si>
  <si>
    <t>Kementerian Parawisata</t>
  </si>
  <si>
    <t>08/MEN-KP/NK/III/2026</t>
  </si>
  <si>
    <t>MenPar</t>
  </si>
  <si>
    <t>KB/1/HK.07/MP/2026</t>
  </si>
  <si>
    <t>3/17/2026</t>
  </si>
  <si>
    <t>3/17/2030</t>
  </si>
  <si>
    <t>1. Pengembangan destinasi wisata bahari berkelanjutan di wilayah pesisir dan pulau2 kecil
2. Penataan ruang laut dalam mendukung wisata bahari
3. Peningkatan kapasitas sumber daya manusia bidang kelautan, perikanan, dan parawisata
4. Pengembangan pemasaran dan penyelenggaraan acara wisata bahari berkelanjutan
5. Pengembangan kapasitas usaha bidang kelautan, perikanan, dan pariwisata
6. Berbagi pakai data dan/atau informasi</t>
  </si>
  <si>
    <t>Badan Pusat Statistik</t>
  </si>
  <si>
    <t>01/SJ/KKP/PKS/I/2026</t>
  </si>
  <si>
    <t>Plt. Sek. Utama BPS</t>
  </si>
  <si>
    <t>A.1/HK.610/PKS/01/2026</t>
  </si>
  <si>
    <t>2026-02-01</t>
  </si>
  <si>
    <t>2031-02-01</t>
  </si>
  <si>
    <t>1. Penukaran dan pemanfaatan data dan informasi statistik sektor kelautan dan perikanan
2. Pengembangan dan penguatan kapasitas sumber daya manusia yang dimiliki para pihak</t>
  </si>
  <si>
    <t>1. 
2.</t>
  </si>
  <si>
    <t>Kesepahaman Bersama</t>
  </si>
  <si>
    <t>03/MEN-KP/NK/II/2026</t>
  </si>
  <si>
    <t>Menteri Ketenagakerjaan</t>
  </si>
  <si>
    <t>M/4/KS.06/II/2026</t>
  </si>
  <si>
    <t>1. Perencanaan dan pemgembangan ketenagakerjaan sektor kelautan dan perikanan
2. Pengembangan sumber daya manusia
3. Perluasan dan pengembangan kesempatan kerja
4. Pelayanan penempatan dan perlindungan tenaga kerja di dalam negeri sektor kelautan dan perikanan
5. Pembinaan hubungan industrial dan peningkatan kepesertaan jaminan sosial ketenagakerjaan
6. Pembinaan dan pengawasan bersama serta penegakan hukum dalam rangka peningkatan perlindungan ketenagakerjaan dan keselamatan dan kesehatan kerja sektor kelautan dan perikanan
7. Berbagi pakai data dan/atau informasi</t>
  </si>
  <si>
    <t>04/MEN-KP/NK/I/2026</t>
  </si>
  <si>
    <t>Ka. BGN</t>
  </si>
  <si>
    <t>06.1/NK.01/02/2026</t>
  </si>
  <si>
    <t>1. Penguatan program pemenuhan gizi nasional serta program kelautan dan perikanan
2. Pengembangan dan pemanfaatan sumber daya kelautan dan perikanan dalam program makan bergizi gratis
3. Fasilitasi kelembagaan sektor kelautan dan perikanan dalam mendukung program makan bergizi gratis
4. Penggunaan bersama sarana dan prasarana
5. Berbagi pakai data dan/atau informasi
6. Pengembangan kompetensi sumber daya manusia</t>
  </si>
  <si>
    <t>Metrik</t>
  </si>
  <si>
    <t>Nilai</t>
  </si>
  <si>
    <t>Jumlah</t>
  </si>
  <si>
    <t>Jumlah aktivitas/perjanjian</t>
  </si>
  <si>
    <t>(Kosong)</t>
  </si>
  <si>
    <t>Total poin ruang lingkup</t>
  </si>
  <si>
    <t>Rata-rata poin ruang lingkup per perjanjian</t>
  </si>
  <si>
    <t>Catatan: KEB = Kebijakan Ekonomi Biru. Pada sheet Per Aktivitas, setiap poin ruang lingkup diberi keterangan kode dalam format (KEB 1), (KEB 2), dan seterusnya.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</si>
</sst>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sz val="11"/>
      <color rgb="FF0563C1"/>
      <name val="Carlito"/>
    </font>
    <font>
      <sz val="9"/>
      <color rgb="FF6B7280"/>
      <name val="Carlito"/>
    </font>
    <font>
      <i/>
      <sz val="11"/>
      <color rgb="FF0F172A"/>
      <name val="Carlito"/>
    </font>
  </fonts>
  <fills count="5">
    <fill>
      <patternFill patternType="none"/>
    </fill>
    <fill>
      <patternFill patternType="gray125"/>
    </fill>
    <fill>
      <patternFill patternType="solid">
        <fgColor rgb="FF115E59"/>
      </patternFill>
    </fill>
    <fill>
      <patternFill patternType="solid">
        <fgColor rgb="FF0F766E"/>
      </patternFill>
    </fill>
    <fill>
      <patternFill patternType="solid">
        <fgColor rgb="FFE0F2FE"/>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20">
    <xf numFmtId="0" fontId="0" fillId="0" borderId="0" xfId="0"/>
    <xf numFmtId="0" fontId="1" fillId="2" borderId="0" xfId="0" applyFont="1" applyFill="1" applyAlignment="1">
      <alignment horizontal="center" vertical="center" wrapText="1"/>
    </xf>
    <xf numFmtId="0" fontId="0" fillId="0" borderId="2" xfId="0" applyBorder="1" applyAlignment="1">
      <alignment vertical="top" wrapText="1"/>
    </xf>
    <xf numFmtId="0" fontId="0" fillId="0" borderId="5" xfId="0" applyBorder="1" applyAlignment="1">
      <alignment vertical="top" wrapText="1"/>
    </xf>
    <xf numFmtId="0" fontId="0" fillId="0" borderId="8" xfId="0" applyBorder="1" applyAlignment="1">
      <alignment vertical="top" wrapText="1"/>
    </xf>
    <xf numFmtId="0" fontId="0" fillId="0" borderId="1" xfId="0" applyBorder="1" applyAlignment="1">
      <alignment horizontal="center" vertical="top" wrapText="1"/>
    </xf>
    <xf numFmtId="0" fontId="0" fillId="0" borderId="4" xfId="0" applyBorder="1" applyAlignment="1">
      <alignment horizontal="center" vertical="top" wrapText="1"/>
    </xf>
    <xf numFmtId="0" fontId="0" fillId="0" borderId="7" xfId="0" applyBorder="1" applyAlignment="1">
      <alignment horizontal="center" vertical="top" wrapText="1"/>
    </xf>
    <xf numFmtId="0" fontId="0" fillId="0" borderId="2" xfId="0" applyBorder="1" applyAlignment="1">
      <alignment horizontal="center" vertical="top" wrapText="1"/>
    </xf>
    <xf numFmtId="0" fontId="0" fillId="0" borderId="5" xfId="0" applyBorder="1" applyAlignment="1">
      <alignment horizontal="center" vertical="top" wrapText="1"/>
    </xf>
    <xf numFmtId="0" fontId="0" fillId="0" borderId="8" xfId="0" applyBorder="1" applyAlignment="1">
      <alignment horizontal="center" vertical="top" wrapText="1"/>
    </xf>
    <xf numFmtId="0" fontId="2" fillId="0" borderId="2" xfId="0" applyFont="1" applyBorder="1" applyAlignment="1">
      <alignment horizontal="center" vertical="top" wrapText="1"/>
    </xf>
    <xf numFmtId="0" fontId="2" fillId="0" borderId="5" xfId="0" applyFont="1" applyBorder="1" applyAlignment="1">
      <alignment horizontal="center" vertical="top" wrapText="1"/>
    </xf>
    <xf numFmtId="0" fontId="2" fillId="0" borderId="8" xfId="0" applyFont="1" applyBorder="1" applyAlignment="1">
      <alignment horizontal="center" vertical="top" wrapText="1"/>
    </xf>
    <xf numFmtId="0" fontId="3" fillId="0" borderId="3" xfId="0" applyFont="1" applyBorder="1" applyAlignment="1">
      <alignment vertical="top" wrapText="1"/>
    </xf>
    <xf numFmtId="0" fontId="3" fillId="0" borderId="6" xfId="0" applyFont="1" applyBorder="1" applyAlignment="1">
      <alignment vertical="top" wrapText="1"/>
    </xf>
    <xf numFmtId="0" fontId="3" fillId="0" borderId="9" xfId="0" applyFont="1" applyBorder="1" applyAlignment="1">
      <alignment vertical="top" wrapText="1"/>
    </xf>
    <xf numFmtId="0" fontId="1" fillId="3" borderId="0" xfId="0" applyFont="1" applyFill="1" applyAlignment="1">
      <alignment horizontal="center" vertical="center" wrapText="1"/>
    </xf>
    <xf numFmtId="0" fontId="4" fillId="4" borderId="0" xfId="0" applyFont="1" applyFill="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PerAktivitas" displayName="TabelPerAktivitas" ref="A2:R253">
  <tableColumns count="18">
    <tableColumn id="1" xr3:uid="{00000000-0010-0000-0000-000001000000}" name="No"/>
    <tableColumn id="2" xr3:uid="{00000000-0010-0000-0000-000002000000}" name="Tahun"/>
    <tableColumn id="3" xr3:uid="{00000000-0010-0000-0000-000003000000}" name="Kategori Mitra"/>
    <tableColumn id="4" xr3:uid="{00000000-0010-0000-0000-000004000000}" name="Mitra Kerja Sama"/>
    <tableColumn id="5" xr3:uid="{00000000-0010-0000-0000-000005000000}" name="Jenis Kerja Sama"/>
    <tableColumn id="6" xr3:uid="{00000000-0010-0000-0000-000006000000}" name="Penandatangan KKP/Pihak 1"/>
    <tableColumn id="7" xr3:uid="{00000000-0010-0000-0000-000007000000}" name="Nomor KKP/Pihak 1"/>
    <tableColumn id="8" xr3:uid="{00000000-0010-0000-0000-000008000000}" name="Penandatangan Mitra/Pihak 2"/>
    <tableColumn id="9" xr3:uid="{00000000-0010-0000-0000-000009000000}" name="Nomor Mitra/Pihak 2"/>
    <tableColumn id="10" xr3:uid="{00000000-0010-0000-0000-00000A000000}" name="Masa Berlaku (Tahun)"/>
    <tableColumn id="11" xr3:uid="{00000000-0010-0000-0000-00000B000000}" name="Mulai"/>
    <tableColumn id="12" xr3:uid="{00000000-0010-0000-0000-00000C000000}" name="Berlaku Hingga"/>
    <tableColumn id="13" xr3:uid="{00000000-0010-0000-0000-00000D000000}" name="Status"/>
    <tableColumn id="14" xr3:uid="{00000000-0010-0000-0000-00000E000000}" name="Jumlah Ruang Lingkup"/>
    <tableColumn id="15" xr3:uid="{00000000-0010-0000-0000-00000F000000}" name="Ruang Lingkup (dengan Kode KEB)"/>
    <tableColumn id="16" xr3:uid="{00000000-0010-0000-0000-000010000000}" name="Kode KEB per Poin"/>
    <tableColumn id="17" xr3:uid="{00000000-0010-0000-0000-000011000000}" name="Link Dokumen"/>
    <tableColumn id="18" xr3:uid="{00000000-0010-0000-0000-000012000000}" name="URL Dokume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5"/>
  <sheetViews>
    <sheetView tabSelected="1" topLeftCell="D218" workbookViewId="0">
      <selection activeCell="I254" sqref="I254"/>
    </sheetView>
  </sheetViews>
  <sheetFormatPr baseColWidth="10" defaultColWidth="8.83203125" defaultRowHeight="14"/>
  <cols>
    <col min="1" max="1" width="4.1640625" bestFit="1" customWidth="1"/>
    <col min="2" max="2" width="6.83203125" bestFit="1" customWidth="1"/>
    <col min="3" max="3" width="13.5" bestFit="1" customWidth="1"/>
    <col min="4" max="4" width="36.1640625" bestFit="1" customWidth="1"/>
    <col min="5" max="5" width="19" bestFit="1" customWidth="1"/>
    <col min="6" max="6" width="21.83203125" bestFit="1" customWidth="1"/>
    <col min="7" max="7" width="22" customWidth="1"/>
    <col min="8" max="8" width="36.1640625" bestFit="1" customWidth="1"/>
    <col min="9" max="9" width="30" bestFit="1" customWidth="1"/>
    <col min="10" max="10" width="12.83203125" bestFit="1" customWidth="1"/>
    <col min="11" max="12" width="10.5" bestFit="1" customWidth="1"/>
    <col min="13" max="13" width="9.6640625" bestFit="1" customWidth="1"/>
    <col min="14" max="14" width="14" bestFit="1" customWidth="1"/>
    <col min="15" max="15" width="120" bestFit="1" customWidth="1"/>
    <col min="16" max="16" width="13.5" bestFit="1" customWidth="1"/>
    <col min="17" max="17" width="14" bestFit="1" customWidth="1"/>
    <col min="18" max="18" width="38" customWidth="1"/>
  </cols>
  <sheetData>
    <row r="1" spans="1:18" ht="37.25" customHeight="1"/>
    <row r="2" spans="1:18" ht="45.25" customHeight="1">
      <c r="A2" s="1" t="s">
        <v>0</v>
      </c>
      <c r="B2" s="1" t="s">
        <v>1</v>
      </c>
      <c r="C2" s="1" t="s">
        <v>2</v>
      </c>
      <c r="D2" s="1" t="s">
        <v>3</v>
      </c>
      <c r="E2" s="1" t="s">
        <v>4</v>
      </c>
      <c r="F2" s="1" t="s">
        <v>5</v>
      </c>
      <c r="G2" s="1" t="s">
        <v>6</v>
      </c>
      <c r="H2" s="1" t="s">
        <v>7</v>
      </c>
      <c r="I2" s="1" t="s">
        <v>8</v>
      </c>
      <c r="J2" s="1" t="s">
        <v>9</v>
      </c>
      <c r="K2" s="1" t="s">
        <v>10</v>
      </c>
      <c r="L2" s="1" t="s">
        <v>11</v>
      </c>
      <c r="M2" s="1" t="s">
        <v>12</v>
      </c>
      <c r="N2" s="1" t="s">
        <v>13</v>
      </c>
      <c r="O2" s="17" t="s">
        <v>14</v>
      </c>
      <c r="P2" s="17" t="s">
        <v>15</v>
      </c>
      <c r="Q2" s="17" t="s">
        <v>16</v>
      </c>
      <c r="R2" s="1" t="s">
        <v>17</v>
      </c>
    </row>
    <row r="3" spans="1:18" ht="180">
      <c r="A3" s="5">
        <v>1</v>
      </c>
      <c r="B3" s="8" t="s">
        <v>18</v>
      </c>
      <c r="C3" s="2" t="s">
        <v>19</v>
      </c>
      <c r="D3" s="2" t="s">
        <v>20</v>
      </c>
      <c r="E3" s="2" t="s">
        <v>21</v>
      </c>
      <c r="F3" s="2" t="s">
        <v>22</v>
      </c>
      <c r="G3" s="2" t="s">
        <v>23</v>
      </c>
      <c r="H3" s="2" t="s">
        <v>24</v>
      </c>
      <c r="I3" s="2" t="s">
        <v>25</v>
      </c>
      <c r="J3" s="8" t="s">
        <v>26</v>
      </c>
      <c r="K3" s="8" t="s">
        <v>27</v>
      </c>
      <c r="L3" s="8" t="s">
        <v>28</v>
      </c>
      <c r="M3" s="8" t="s">
        <v>29</v>
      </c>
      <c r="N3" s="8">
        <v>6</v>
      </c>
      <c r="O3" s="2" t="s">
        <v>30</v>
      </c>
      <c r="P3" s="2" t="s">
        <v>31</v>
      </c>
      <c r="Q3" s="11" t="str">
        <f>HYPERLINK("https://drive.google.com/file/d/1Be8XDkcHQfNkF0GMRfjZgO_56e-Fvg_u/view?usp=drive_link","Buka Dokumen")</f>
        <v>Buka Dokumen</v>
      </c>
      <c r="R3" s="14" t="s">
        <v>32</v>
      </c>
    </row>
    <row r="4" spans="1:18" ht="121" customHeight="1">
      <c r="A4" s="6">
        <v>2</v>
      </c>
      <c r="B4" s="9" t="s">
        <v>18</v>
      </c>
      <c r="C4" s="3" t="s">
        <v>33</v>
      </c>
      <c r="D4" s="3" t="s">
        <v>34</v>
      </c>
      <c r="E4" s="3" t="s">
        <v>35</v>
      </c>
      <c r="F4" s="3" t="s">
        <v>22</v>
      </c>
      <c r="G4" s="3" t="s">
        <v>36</v>
      </c>
      <c r="H4" s="3" t="s">
        <v>37</v>
      </c>
      <c r="I4" s="3" t="s">
        <v>38</v>
      </c>
      <c r="J4" s="9" t="s">
        <v>39</v>
      </c>
      <c r="K4" s="9" t="s">
        <v>40</v>
      </c>
      <c r="L4" s="9" t="s">
        <v>41</v>
      </c>
      <c r="M4" s="9" t="s">
        <v>29</v>
      </c>
      <c r="N4" s="9">
        <v>5</v>
      </c>
      <c r="O4" s="3" t="s">
        <v>42</v>
      </c>
      <c r="P4" s="3" t="s">
        <v>43</v>
      </c>
      <c r="Q4" s="12" t="str">
        <f>HYPERLINK("https://drive.google.com/file/d/1c1neMHCkGKo3ElwnWvMpRvoF2S6CGV9k/view?usp=drive_link","Buka Dokumen")</f>
        <v>Buka Dokumen</v>
      </c>
      <c r="R4" s="15" t="s">
        <v>44</v>
      </c>
    </row>
    <row r="5" spans="1:18" ht="179" customHeight="1">
      <c r="A5" s="6">
        <v>3</v>
      </c>
      <c r="B5" s="9" t="s">
        <v>18</v>
      </c>
      <c r="C5" s="3" t="s">
        <v>33</v>
      </c>
      <c r="D5" s="3" t="s">
        <v>45</v>
      </c>
      <c r="E5" s="3" t="s">
        <v>35</v>
      </c>
      <c r="F5" s="3" t="s">
        <v>46</v>
      </c>
      <c r="G5" s="3" t="s">
        <v>47</v>
      </c>
      <c r="H5" s="3" t="s">
        <v>22</v>
      </c>
      <c r="I5" s="3" t="s">
        <v>48</v>
      </c>
      <c r="J5" s="9" t="s">
        <v>26</v>
      </c>
      <c r="K5" s="9" t="s">
        <v>49</v>
      </c>
      <c r="L5" s="9" t="s">
        <v>50</v>
      </c>
      <c r="M5" s="9" t="s">
        <v>29</v>
      </c>
      <c r="N5" s="9">
        <v>6</v>
      </c>
      <c r="O5" s="3" t="s">
        <v>51</v>
      </c>
      <c r="P5" s="3" t="s">
        <v>52</v>
      </c>
      <c r="Q5" s="12" t="str">
        <f>HYPERLINK("https://drive.google.com/file/d/14gosnafOvjxiJCiYE0FD_iV198DSNeI7/view?usp=drive_link","Buka Dokumen")</f>
        <v>Buka Dokumen</v>
      </c>
      <c r="R5" s="15" t="s">
        <v>53</v>
      </c>
    </row>
    <row r="6" spans="1:18" ht="126.75" customHeight="1">
      <c r="A6" s="6">
        <v>4</v>
      </c>
      <c r="B6" s="9" t="s">
        <v>18</v>
      </c>
      <c r="C6" s="3" t="s">
        <v>33</v>
      </c>
      <c r="D6" s="3" t="s">
        <v>54</v>
      </c>
      <c r="E6" s="3" t="s">
        <v>55</v>
      </c>
      <c r="F6" s="3" t="s">
        <v>56</v>
      </c>
      <c r="G6" s="3" t="s">
        <v>57</v>
      </c>
      <c r="H6" s="3" t="s">
        <v>58</v>
      </c>
      <c r="I6" s="3" t="s">
        <v>59</v>
      </c>
      <c r="J6" s="9" t="s">
        <v>60</v>
      </c>
      <c r="K6" s="9" t="s">
        <v>61</v>
      </c>
      <c r="L6" s="9" t="s">
        <v>62</v>
      </c>
      <c r="M6" s="9" t="s">
        <v>29</v>
      </c>
      <c r="N6" s="9">
        <v>4</v>
      </c>
      <c r="O6" s="3" t="s">
        <v>63</v>
      </c>
      <c r="P6" s="3" t="s">
        <v>64</v>
      </c>
      <c r="Q6" s="12" t="str">
        <f>HYPERLINK("https://drive.google.com/file/d/1ED-jcYNfB0kt_urISShxjGexYNEm25h8/view?usp=drive_link","Buka Dokumen")</f>
        <v>Buka Dokumen</v>
      </c>
      <c r="R6" s="15" t="s">
        <v>65</v>
      </c>
    </row>
    <row r="7" spans="1:18" ht="163" customHeight="1">
      <c r="A7" s="6">
        <v>5</v>
      </c>
      <c r="B7" s="9" t="s">
        <v>18</v>
      </c>
      <c r="C7" s="3" t="s">
        <v>33</v>
      </c>
      <c r="D7" s="3" t="s">
        <v>66</v>
      </c>
      <c r="E7" s="3" t="s">
        <v>35</v>
      </c>
      <c r="F7" s="3" t="s">
        <v>67</v>
      </c>
      <c r="G7" s="3" t="s">
        <v>68</v>
      </c>
      <c r="H7" s="3" t="s">
        <v>22</v>
      </c>
      <c r="I7" s="3" t="s">
        <v>69</v>
      </c>
      <c r="J7" s="9" t="s">
        <v>26</v>
      </c>
      <c r="K7" s="9" t="s">
        <v>70</v>
      </c>
      <c r="L7" s="9" t="s">
        <v>71</v>
      </c>
      <c r="M7" s="9" t="s">
        <v>29</v>
      </c>
      <c r="N7" s="9">
        <v>5</v>
      </c>
      <c r="O7" s="3" t="s">
        <v>72</v>
      </c>
      <c r="P7" s="3" t="s">
        <v>73</v>
      </c>
      <c r="Q7" s="12" t="str">
        <f>HYPERLINK("https://drive.google.com/file/d/12iVcE-__vZh_bENOSeHmbYz0V7RQWN71/view?usp=drive_link","Buka Dokumen")</f>
        <v>Buka Dokumen</v>
      </c>
      <c r="R7" s="15" t="s">
        <v>74</v>
      </c>
    </row>
    <row r="8" spans="1:18" ht="126.75" customHeight="1">
      <c r="A8" s="6">
        <v>6</v>
      </c>
      <c r="B8" s="9" t="s">
        <v>18</v>
      </c>
      <c r="C8" s="3" t="s">
        <v>33</v>
      </c>
      <c r="D8" s="3" t="s">
        <v>75</v>
      </c>
      <c r="E8" s="3" t="s">
        <v>35</v>
      </c>
      <c r="F8" s="3" t="s">
        <v>76</v>
      </c>
      <c r="G8" s="3" t="s">
        <v>77</v>
      </c>
      <c r="H8" s="3" t="s">
        <v>22</v>
      </c>
      <c r="I8" s="3" t="s">
        <v>78</v>
      </c>
      <c r="J8" s="9" t="s">
        <v>26</v>
      </c>
      <c r="K8" s="9" t="s">
        <v>79</v>
      </c>
      <c r="L8" s="9" t="s">
        <v>80</v>
      </c>
      <c r="M8" s="9" t="s">
        <v>29</v>
      </c>
      <c r="N8" s="9">
        <v>5</v>
      </c>
      <c r="O8" s="3" t="s">
        <v>81</v>
      </c>
      <c r="P8" s="3" t="s">
        <v>82</v>
      </c>
      <c r="Q8" s="12" t="str">
        <f>HYPERLINK("https://drive.google.com/file/d/1pHy-anVrzOQVGe3J7jW-ualmhEIcXgOd/view?usp=drive_link","Buka Dokumen")</f>
        <v>Buka Dokumen</v>
      </c>
      <c r="R8" s="15" t="s">
        <v>83</v>
      </c>
    </row>
    <row r="9" spans="1:18" ht="126.75" customHeight="1">
      <c r="A9" s="6">
        <v>7</v>
      </c>
      <c r="B9" s="9" t="s">
        <v>18</v>
      </c>
      <c r="C9" s="3" t="s">
        <v>33</v>
      </c>
      <c r="D9" s="3" t="s">
        <v>84</v>
      </c>
      <c r="E9" s="3" t="s">
        <v>21</v>
      </c>
      <c r="F9" s="3" t="s">
        <v>22</v>
      </c>
      <c r="G9" s="3" t="s">
        <v>85</v>
      </c>
      <c r="H9" s="3" t="s">
        <v>86</v>
      </c>
      <c r="I9" s="3" t="s">
        <v>87</v>
      </c>
      <c r="J9" s="9" t="s">
        <v>26</v>
      </c>
      <c r="K9" s="9" t="s">
        <v>88</v>
      </c>
      <c r="L9" s="9" t="s">
        <v>89</v>
      </c>
      <c r="M9" s="9" t="s">
        <v>29</v>
      </c>
      <c r="N9" s="9">
        <v>4</v>
      </c>
      <c r="O9" s="3" t="s">
        <v>90</v>
      </c>
      <c r="P9" s="3" t="s">
        <v>91</v>
      </c>
      <c r="Q9" s="12" t="str">
        <f>HYPERLINK("https://drive.google.com/file/d/12jQfYjpJvm6oPBZQv83CNsC9u9B1ZQt0/view?usp=drive_link","Buka Dokumen")</f>
        <v>Buka Dokumen</v>
      </c>
      <c r="R9" s="15" t="s">
        <v>92</v>
      </c>
    </row>
    <row r="10" spans="1:18" ht="126.75" customHeight="1">
      <c r="A10" s="6">
        <v>8</v>
      </c>
      <c r="B10" s="9" t="s">
        <v>18</v>
      </c>
      <c r="C10" s="3" t="s">
        <v>93</v>
      </c>
      <c r="D10" s="3" t="s">
        <v>94</v>
      </c>
      <c r="E10" s="3" t="s">
        <v>95</v>
      </c>
      <c r="F10" s="3" t="s">
        <v>22</v>
      </c>
      <c r="G10" s="3" t="s">
        <v>96</v>
      </c>
      <c r="H10" s="3" t="s">
        <v>97</v>
      </c>
      <c r="I10" s="3" t="s">
        <v>98</v>
      </c>
      <c r="J10" s="9" t="s">
        <v>26</v>
      </c>
      <c r="K10" s="9" t="s">
        <v>88</v>
      </c>
      <c r="L10" s="9" t="s">
        <v>89</v>
      </c>
      <c r="M10" s="9" t="s">
        <v>29</v>
      </c>
      <c r="N10" s="9">
        <v>9</v>
      </c>
      <c r="O10" s="3" t="s">
        <v>99</v>
      </c>
      <c r="P10" s="3" t="s">
        <v>100</v>
      </c>
      <c r="Q10" s="12" t="str">
        <f>HYPERLINK("https://drive.google.com/file/d/1UtW3BKaKvP69DKu12O52W8IHXs5YS66t/view?usp=drive_link","Buka Dokumen")</f>
        <v>Buka Dokumen</v>
      </c>
      <c r="R10" s="15" t="s">
        <v>101</v>
      </c>
    </row>
    <row r="11" spans="1:18" ht="126.75" customHeight="1">
      <c r="A11" s="6">
        <v>9</v>
      </c>
      <c r="B11" s="9" t="s">
        <v>18</v>
      </c>
      <c r="C11" s="3" t="s">
        <v>93</v>
      </c>
      <c r="D11" s="3" t="s">
        <v>102</v>
      </c>
      <c r="E11" s="3" t="s">
        <v>95</v>
      </c>
      <c r="F11" s="3" t="s">
        <v>22</v>
      </c>
      <c r="G11" s="3" t="s">
        <v>103</v>
      </c>
      <c r="H11" s="3" t="s">
        <v>104</v>
      </c>
      <c r="I11" s="3" t="s">
        <v>105</v>
      </c>
      <c r="J11" s="9" t="s">
        <v>26</v>
      </c>
      <c r="K11" s="9" t="s">
        <v>88</v>
      </c>
      <c r="L11" s="9" t="s">
        <v>89</v>
      </c>
      <c r="M11" s="9" t="s">
        <v>29</v>
      </c>
      <c r="N11" s="9">
        <v>9</v>
      </c>
      <c r="O11" s="3" t="s">
        <v>106</v>
      </c>
      <c r="P11" s="3" t="s">
        <v>100</v>
      </c>
      <c r="Q11" s="12" t="str">
        <f>HYPERLINK("https://drive.google.com/file/d/1sPcUvsLALRV-cVSdFpAFZou1HF8HRdPg/view?usp=drive_link","Buka Dokumen")</f>
        <v>Buka Dokumen</v>
      </c>
      <c r="R11" s="15" t="s">
        <v>107</v>
      </c>
    </row>
    <row r="12" spans="1:18" ht="126.75" customHeight="1">
      <c r="A12" s="6">
        <v>10</v>
      </c>
      <c r="B12" s="9" t="s">
        <v>18</v>
      </c>
      <c r="C12" s="3" t="s">
        <v>108</v>
      </c>
      <c r="D12" s="3" t="s">
        <v>109</v>
      </c>
      <c r="E12" s="3" t="s">
        <v>35</v>
      </c>
      <c r="F12" s="3" t="s">
        <v>56</v>
      </c>
      <c r="G12" s="3" t="s">
        <v>110</v>
      </c>
      <c r="H12" s="3" t="s">
        <v>111</v>
      </c>
      <c r="I12" s="3" t="s">
        <v>112</v>
      </c>
      <c r="J12" s="9" t="s">
        <v>26</v>
      </c>
      <c r="K12" s="9" t="s">
        <v>113</v>
      </c>
      <c r="L12" s="9" t="s">
        <v>114</v>
      </c>
      <c r="M12" s="9" t="s">
        <v>29</v>
      </c>
      <c r="N12" s="9">
        <v>6</v>
      </c>
      <c r="O12" s="3" t="s">
        <v>115</v>
      </c>
      <c r="P12" s="3" t="s">
        <v>116</v>
      </c>
      <c r="Q12" s="12" t="str">
        <f>HYPERLINK("https://drive.google.com/file/d/1eACYiceIFGHBYCViN19AcHk5Etr0IHPL/view?usp=drive_link","Buka Dokumen")</f>
        <v>Buka Dokumen</v>
      </c>
      <c r="R12" s="15" t="s">
        <v>117</v>
      </c>
    </row>
    <row r="13" spans="1:18" ht="126.75" customHeight="1">
      <c r="A13" s="6">
        <v>11</v>
      </c>
      <c r="B13" s="9" t="s">
        <v>18</v>
      </c>
      <c r="C13" s="3" t="s">
        <v>118</v>
      </c>
      <c r="D13" s="3" t="s">
        <v>119</v>
      </c>
      <c r="E13" s="3" t="s">
        <v>55</v>
      </c>
      <c r="F13" s="3" t="s">
        <v>56</v>
      </c>
      <c r="G13" s="3" t="s">
        <v>120</v>
      </c>
      <c r="H13" s="3" t="s">
        <v>121</v>
      </c>
      <c r="I13" s="3" t="s">
        <v>122</v>
      </c>
      <c r="J13" s="9" t="s">
        <v>123</v>
      </c>
      <c r="K13" s="9" t="s">
        <v>124</v>
      </c>
      <c r="L13" s="9" t="s">
        <v>125</v>
      </c>
      <c r="M13" s="9" t="s">
        <v>29</v>
      </c>
      <c r="N13" s="9">
        <v>5</v>
      </c>
      <c r="O13" s="3" t="s">
        <v>126</v>
      </c>
      <c r="P13" s="3" t="s">
        <v>127</v>
      </c>
      <c r="Q13" s="12" t="str">
        <f>HYPERLINK("https://drive.google.com/file/d/11MoEF9t_a8KuUAE1tINpYOx7I_wq0SoT/view?usp=drive_link","Buka Dokumen")</f>
        <v>Buka Dokumen</v>
      </c>
      <c r="R13" s="15" t="s">
        <v>128</v>
      </c>
    </row>
    <row r="14" spans="1:18" ht="126.75" customHeight="1">
      <c r="A14" s="6">
        <v>12</v>
      </c>
      <c r="B14" s="9" t="s">
        <v>18</v>
      </c>
      <c r="C14" s="3" t="s">
        <v>33</v>
      </c>
      <c r="D14" s="3" t="s">
        <v>129</v>
      </c>
      <c r="E14" s="3" t="s">
        <v>55</v>
      </c>
      <c r="F14" s="3" t="s">
        <v>130</v>
      </c>
      <c r="G14" s="3" t="s">
        <v>131</v>
      </c>
      <c r="H14" s="3" t="s">
        <v>56</v>
      </c>
      <c r="I14" s="3" t="s">
        <v>132</v>
      </c>
      <c r="J14" s="9" t="s">
        <v>26</v>
      </c>
      <c r="K14" s="9" t="s">
        <v>133</v>
      </c>
      <c r="L14" s="9" t="s">
        <v>134</v>
      </c>
      <c r="M14" s="9" t="s">
        <v>29</v>
      </c>
      <c r="N14" s="9">
        <v>4</v>
      </c>
      <c r="O14" s="3" t="s">
        <v>135</v>
      </c>
      <c r="P14" s="3" t="s">
        <v>136</v>
      </c>
      <c r="Q14" s="12" t="str">
        <f>HYPERLINK("https://drive.google.com/file/d/1c_i6-xoWkdwnKsL2gcxTZl-5IhYwQjbw/view?usp=drive_link","Buka Dokumen")</f>
        <v>Buka Dokumen</v>
      </c>
      <c r="R14" s="15" t="s">
        <v>137</v>
      </c>
    </row>
    <row r="15" spans="1:18" ht="170" customHeight="1">
      <c r="A15" s="6">
        <v>13</v>
      </c>
      <c r="B15" s="9" t="s">
        <v>18</v>
      </c>
      <c r="C15" s="3" t="s">
        <v>93</v>
      </c>
      <c r="D15" s="3" t="s">
        <v>138</v>
      </c>
      <c r="E15" s="3" t="s">
        <v>95</v>
      </c>
      <c r="F15" s="3" t="s">
        <v>22</v>
      </c>
      <c r="G15" s="3" t="s">
        <v>139</v>
      </c>
      <c r="H15" s="3" t="s">
        <v>140</v>
      </c>
      <c r="I15" s="3" t="s">
        <v>141</v>
      </c>
      <c r="J15" s="9" t="s">
        <v>26</v>
      </c>
      <c r="K15" s="9" t="s">
        <v>142</v>
      </c>
      <c r="L15" s="9" t="s">
        <v>143</v>
      </c>
      <c r="M15" s="9" t="s">
        <v>29</v>
      </c>
      <c r="N15" s="9">
        <v>9</v>
      </c>
      <c r="O15" s="3" t="s">
        <v>144</v>
      </c>
      <c r="P15" s="3" t="s">
        <v>145</v>
      </c>
      <c r="Q15" s="12" t="str">
        <f>HYPERLINK("https://drive.google.com/file/d/1O9mwuTVFIbdayhljTrIDYRkgosvlfbpr/view?usp=drive_link","Buka Dokumen")</f>
        <v>Buka Dokumen</v>
      </c>
      <c r="R15" s="15" t="s">
        <v>146</v>
      </c>
    </row>
    <row r="16" spans="1:18" ht="126.75" customHeight="1">
      <c r="A16" s="6">
        <v>14</v>
      </c>
      <c r="B16" s="9" t="s">
        <v>18</v>
      </c>
      <c r="C16" s="3" t="s">
        <v>93</v>
      </c>
      <c r="D16" s="3" t="s">
        <v>147</v>
      </c>
      <c r="E16" s="3" t="s">
        <v>95</v>
      </c>
      <c r="F16" s="3" t="s">
        <v>148</v>
      </c>
      <c r="G16" s="3" t="s">
        <v>149</v>
      </c>
      <c r="H16" s="3" t="s">
        <v>150</v>
      </c>
      <c r="I16" s="3" t="s">
        <v>151</v>
      </c>
      <c r="J16" s="9" t="s">
        <v>26</v>
      </c>
      <c r="K16" s="9" t="s">
        <v>152</v>
      </c>
      <c r="L16" s="9" t="s">
        <v>153</v>
      </c>
      <c r="M16" s="9" t="s">
        <v>29</v>
      </c>
      <c r="N16" s="9">
        <v>3</v>
      </c>
      <c r="O16" s="3" t="s">
        <v>154</v>
      </c>
      <c r="P16" s="3" t="s">
        <v>155</v>
      </c>
      <c r="Q16" s="12" t="str">
        <f>HYPERLINK("https://drive.google.com/file/d/1yFOr8phQ1yoq8u_Pc9Q06SbaetUcS2PL/view?usp=drive_link","Buka Dokumen")</f>
        <v>Buka Dokumen</v>
      </c>
      <c r="R16" s="15" t="s">
        <v>156</v>
      </c>
    </row>
    <row r="17" spans="1:18" ht="126.75" customHeight="1">
      <c r="A17" s="6">
        <v>15</v>
      </c>
      <c r="B17" s="9" t="s">
        <v>18</v>
      </c>
      <c r="C17" s="3" t="s">
        <v>93</v>
      </c>
      <c r="D17" s="3" t="s">
        <v>157</v>
      </c>
      <c r="E17" s="3" t="s">
        <v>95</v>
      </c>
      <c r="F17" s="3" t="s">
        <v>148</v>
      </c>
      <c r="G17" s="3" t="s">
        <v>158</v>
      </c>
      <c r="H17" s="3" t="s">
        <v>159</v>
      </c>
      <c r="I17" s="3" t="s">
        <v>160</v>
      </c>
      <c r="J17" s="9" t="s">
        <v>26</v>
      </c>
      <c r="K17" s="9" t="s">
        <v>161</v>
      </c>
      <c r="L17" s="9" t="s">
        <v>162</v>
      </c>
      <c r="M17" s="9" t="s">
        <v>29</v>
      </c>
      <c r="N17" s="9">
        <v>3</v>
      </c>
      <c r="O17" s="3" t="s">
        <v>154</v>
      </c>
      <c r="P17" s="3" t="s">
        <v>155</v>
      </c>
      <c r="Q17" s="12" t="str">
        <f>HYPERLINK("https://drive.google.com/file/d/1inYJlnvmi20SrNJ9p2Tb482pvMnJhM7X/view?usp=drive_link","Buka Dokumen")</f>
        <v>Buka Dokumen</v>
      </c>
      <c r="R17" s="15" t="s">
        <v>163</v>
      </c>
    </row>
    <row r="18" spans="1:18" ht="126.75" customHeight="1">
      <c r="A18" s="6">
        <v>16</v>
      </c>
      <c r="B18" s="9" t="s">
        <v>18</v>
      </c>
      <c r="C18" s="3" t="s">
        <v>93</v>
      </c>
      <c r="D18" s="3" t="s">
        <v>164</v>
      </c>
      <c r="E18" s="3" t="s">
        <v>95</v>
      </c>
      <c r="F18" s="3" t="s">
        <v>148</v>
      </c>
      <c r="G18" s="3" t="s">
        <v>165</v>
      </c>
      <c r="H18" s="3" t="s">
        <v>166</v>
      </c>
      <c r="I18" s="3" t="s">
        <v>167</v>
      </c>
      <c r="J18" s="9" t="s">
        <v>26</v>
      </c>
      <c r="K18" s="9" t="s">
        <v>168</v>
      </c>
      <c r="L18" s="9" t="s">
        <v>169</v>
      </c>
      <c r="M18" s="9" t="s">
        <v>29</v>
      </c>
      <c r="N18" s="9">
        <v>3</v>
      </c>
      <c r="O18" s="3" t="s">
        <v>154</v>
      </c>
      <c r="P18" s="3" t="s">
        <v>155</v>
      </c>
      <c r="Q18" s="12" t="str">
        <f>HYPERLINK("https://drive.google.com/file/d/1f1YgU1Hh81WXEggwuCF4ZM8_fgIg7sy0/view?usp=drive_link","Buka Dokumen")</f>
        <v>Buka Dokumen</v>
      </c>
      <c r="R18" s="15" t="s">
        <v>170</v>
      </c>
    </row>
    <row r="19" spans="1:18" ht="126.75" customHeight="1">
      <c r="A19" s="6">
        <v>17</v>
      </c>
      <c r="B19" s="9" t="s">
        <v>18</v>
      </c>
      <c r="C19" s="3" t="s">
        <v>93</v>
      </c>
      <c r="D19" s="3" t="s">
        <v>171</v>
      </c>
      <c r="E19" s="3" t="s">
        <v>95</v>
      </c>
      <c r="F19" s="3" t="s">
        <v>148</v>
      </c>
      <c r="G19" s="3" t="s">
        <v>172</v>
      </c>
      <c r="H19" s="3" t="s">
        <v>173</v>
      </c>
      <c r="I19" s="3" t="s">
        <v>174</v>
      </c>
      <c r="J19" s="9" t="s">
        <v>26</v>
      </c>
      <c r="K19" s="9" t="s">
        <v>175</v>
      </c>
      <c r="L19" s="9" t="s">
        <v>176</v>
      </c>
      <c r="M19" s="9" t="s">
        <v>29</v>
      </c>
      <c r="N19" s="9">
        <v>3</v>
      </c>
      <c r="O19" s="3" t="s">
        <v>154</v>
      </c>
      <c r="P19" s="3" t="s">
        <v>155</v>
      </c>
      <c r="Q19" s="12" t="str">
        <f>HYPERLINK("https://drive.google.com/file/d/1h0sJ4g4k8V8Vq63kkpeo5Hakwiwpepn5/view?usp=drive_link","Buka Dokumen")</f>
        <v>Buka Dokumen</v>
      </c>
      <c r="R19" s="15" t="s">
        <v>177</v>
      </c>
    </row>
    <row r="20" spans="1:18" ht="126.75" customHeight="1">
      <c r="A20" s="6">
        <v>18</v>
      </c>
      <c r="B20" s="9" t="s">
        <v>18</v>
      </c>
      <c r="C20" s="3" t="s">
        <v>108</v>
      </c>
      <c r="D20" s="3" t="s">
        <v>178</v>
      </c>
      <c r="E20" s="3" t="s">
        <v>35</v>
      </c>
      <c r="F20" s="3" t="s">
        <v>56</v>
      </c>
      <c r="G20" s="3" t="s">
        <v>103</v>
      </c>
      <c r="H20" s="3" t="s">
        <v>179</v>
      </c>
      <c r="I20" s="3" t="s">
        <v>180</v>
      </c>
      <c r="J20" s="9" t="s">
        <v>26</v>
      </c>
      <c r="K20" s="9" t="s">
        <v>181</v>
      </c>
      <c r="L20" s="9" t="s">
        <v>182</v>
      </c>
      <c r="M20" s="9" t="s">
        <v>29</v>
      </c>
      <c r="N20" s="9">
        <v>4</v>
      </c>
      <c r="O20" s="3" t="s">
        <v>183</v>
      </c>
      <c r="P20" s="3" t="s">
        <v>184</v>
      </c>
      <c r="Q20" s="12" t="str">
        <f>HYPERLINK("https://drive.google.com/file/d/1pFoCGTDIO3zNnbuFTi5hO1UHAGAiOJkh/view?usp=sharing","Buka Dokumen")</f>
        <v>Buka Dokumen</v>
      </c>
      <c r="R20" s="15" t="s">
        <v>185</v>
      </c>
    </row>
    <row r="21" spans="1:18" ht="126.75" customHeight="1">
      <c r="A21" s="6">
        <v>19</v>
      </c>
      <c r="B21" s="9" t="s">
        <v>18</v>
      </c>
      <c r="C21" s="3" t="s">
        <v>186</v>
      </c>
      <c r="D21" s="3" t="s">
        <v>187</v>
      </c>
      <c r="E21" s="3" t="s">
        <v>55</v>
      </c>
      <c r="F21" s="3" t="s">
        <v>56</v>
      </c>
      <c r="G21" s="3" t="s">
        <v>188</v>
      </c>
      <c r="H21" s="3" t="s">
        <v>189</v>
      </c>
      <c r="I21" s="3" t="s">
        <v>190</v>
      </c>
      <c r="J21" s="9" t="s">
        <v>60</v>
      </c>
      <c r="K21" s="9" t="s">
        <v>191</v>
      </c>
      <c r="L21" s="9" t="s">
        <v>192</v>
      </c>
      <c r="M21" s="9" t="s">
        <v>29</v>
      </c>
      <c r="N21" s="9">
        <v>4</v>
      </c>
      <c r="O21" s="3" t="s">
        <v>193</v>
      </c>
      <c r="P21" s="3" t="s">
        <v>194</v>
      </c>
      <c r="Q21" s="12" t="str">
        <f>HYPERLINK("https://drive.google.com/file/d/1misbFUIptXm-PlaqrGmjQ2egsfzY_1g9/view?usp=drive_link","Buka Dokumen")</f>
        <v>Buka Dokumen</v>
      </c>
      <c r="R21" s="15" t="s">
        <v>195</v>
      </c>
    </row>
    <row r="22" spans="1:18" ht="126.75" customHeight="1">
      <c r="A22" s="6">
        <v>20</v>
      </c>
      <c r="B22" s="9" t="s">
        <v>18</v>
      </c>
      <c r="C22" s="3" t="s">
        <v>93</v>
      </c>
      <c r="D22" s="3" t="s">
        <v>196</v>
      </c>
      <c r="E22" s="3" t="s">
        <v>21</v>
      </c>
      <c r="F22" s="3" t="s">
        <v>22</v>
      </c>
      <c r="G22" s="3"/>
      <c r="H22" s="3" t="s">
        <v>197</v>
      </c>
      <c r="I22" s="3"/>
      <c r="J22" s="9" t="s">
        <v>26</v>
      </c>
      <c r="K22" s="9"/>
      <c r="L22" s="9"/>
      <c r="M22" s="9"/>
      <c r="N22" s="9">
        <v>0</v>
      </c>
      <c r="O22" s="3"/>
      <c r="P22" s="3"/>
      <c r="Q22" s="12" t="s">
        <v>198</v>
      </c>
      <c r="R22" s="15"/>
    </row>
    <row r="23" spans="1:18" ht="126.75" customHeight="1">
      <c r="A23" s="6">
        <v>21</v>
      </c>
      <c r="B23" s="9" t="s">
        <v>18</v>
      </c>
      <c r="C23" s="3" t="s">
        <v>33</v>
      </c>
      <c r="D23" s="3" t="s">
        <v>199</v>
      </c>
      <c r="E23" s="3" t="s">
        <v>21</v>
      </c>
      <c r="F23" s="3" t="s">
        <v>22</v>
      </c>
      <c r="G23" s="3" t="s">
        <v>200</v>
      </c>
      <c r="H23" s="3" t="s">
        <v>201</v>
      </c>
      <c r="I23" s="3" t="s">
        <v>202</v>
      </c>
      <c r="J23" s="9" t="s">
        <v>26</v>
      </c>
      <c r="K23" s="9" t="s">
        <v>88</v>
      </c>
      <c r="L23" s="9" t="s">
        <v>89</v>
      </c>
      <c r="M23" s="9" t="s">
        <v>29</v>
      </c>
      <c r="N23" s="9">
        <v>4</v>
      </c>
      <c r="O23" s="3" t="s">
        <v>203</v>
      </c>
      <c r="P23" s="3" t="s">
        <v>204</v>
      </c>
      <c r="Q23" s="12" t="str">
        <f>HYPERLINK("https://drive.google.com/file/d/1vSgxwPQNsLALVrLMX5Ss_0vWqZiHB3uk/view?usp=drive_link","Buka Dokumen")</f>
        <v>Buka Dokumen</v>
      </c>
      <c r="R23" s="15" t="s">
        <v>205</v>
      </c>
    </row>
    <row r="24" spans="1:18" ht="126.75" customHeight="1">
      <c r="A24" s="6">
        <v>22</v>
      </c>
      <c r="B24" s="9" t="s">
        <v>18</v>
      </c>
      <c r="C24" s="3" t="s">
        <v>33</v>
      </c>
      <c r="D24" s="3" t="s">
        <v>206</v>
      </c>
      <c r="E24" s="3" t="s">
        <v>21</v>
      </c>
      <c r="F24" s="3" t="s">
        <v>22</v>
      </c>
      <c r="G24" s="3" t="s">
        <v>207</v>
      </c>
      <c r="H24" s="3" t="s">
        <v>208</v>
      </c>
      <c r="I24" s="3" t="s">
        <v>209</v>
      </c>
      <c r="J24" s="9" t="s">
        <v>26</v>
      </c>
      <c r="K24" s="9" t="s">
        <v>210</v>
      </c>
      <c r="L24" s="9" t="s">
        <v>211</v>
      </c>
      <c r="M24" s="9" t="s">
        <v>29</v>
      </c>
      <c r="N24" s="9">
        <v>5</v>
      </c>
      <c r="O24" s="3" t="s">
        <v>212</v>
      </c>
      <c r="P24" s="3" t="s">
        <v>213</v>
      </c>
      <c r="Q24" s="12" t="str">
        <f>HYPERLINK("https://drive.google.com/file/d/1u5MneTNMfSlymbAV5lcyUzuXqt0pfbf7/view?usp=drive_link","Buka Dokumen")</f>
        <v>Buka Dokumen</v>
      </c>
      <c r="R24" s="15" t="s">
        <v>214</v>
      </c>
    </row>
    <row r="25" spans="1:18" ht="171" customHeight="1">
      <c r="A25" s="6">
        <v>23</v>
      </c>
      <c r="B25" s="9" t="s">
        <v>18</v>
      </c>
      <c r="C25" s="3" t="s">
        <v>108</v>
      </c>
      <c r="D25" s="3" t="s">
        <v>215</v>
      </c>
      <c r="E25" s="3" t="s">
        <v>35</v>
      </c>
      <c r="F25" s="3" t="s">
        <v>22</v>
      </c>
      <c r="G25" s="3" t="s">
        <v>216</v>
      </c>
      <c r="H25" s="3" t="s">
        <v>217</v>
      </c>
      <c r="I25" s="3" t="s">
        <v>218</v>
      </c>
      <c r="J25" s="9" t="s">
        <v>26</v>
      </c>
      <c r="K25" s="9" t="s">
        <v>219</v>
      </c>
      <c r="L25" s="9" t="s">
        <v>220</v>
      </c>
      <c r="M25" s="9" t="s">
        <v>29</v>
      </c>
      <c r="N25" s="9">
        <v>9</v>
      </c>
      <c r="O25" s="3" t="s">
        <v>221</v>
      </c>
      <c r="P25" s="3" t="s">
        <v>222</v>
      </c>
      <c r="Q25" s="12" t="str">
        <f>HYPERLINK("https://drive.google.com/file/d/1pleqV9cvj6av4JmghUkd-56CaAcXuDuA/view?usp=drive_link","Buka Dokumen")</f>
        <v>Buka Dokumen</v>
      </c>
      <c r="R25" s="15" t="s">
        <v>223</v>
      </c>
    </row>
    <row r="26" spans="1:18" ht="126.75" customHeight="1">
      <c r="A26" s="6">
        <v>24</v>
      </c>
      <c r="B26" s="9" t="s">
        <v>18</v>
      </c>
      <c r="C26" s="3" t="s">
        <v>19</v>
      </c>
      <c r="D26" s="3" t="s">
        <v>224</v>
      </c>
      <c r="E26" s="3" t="s">
        <v>21</v>
      </c>
      <c r="F26" s="3" t="s">
        <v>56</v>
      </c>
      <c r="G26" s="3" t="s">
        <v>225</v>
      </c>
      <c r="H26" s="3" t="s">
        <v>226</v>
      </c>
      <c r="I26" s="3" t="s">
        <v>227</v>
      </c>
      <c r="J26" s="9" t="s">
        <v>60</v>
      </c>
      <c r="K26" s="9" t="s">
        <v>228</v>
      </c>
      <c r="L26" s="9" t="s">
        <v>229</v>
      </c>
      <c r="M26" s="9" t="s">
        <v>29</v>
      </c>
      <c r="N26" s="9">
        <v>4</v>
      </c>
      <c r="O26" s="3" t="s">
        <v>230</v>
      </c>
      <c r="P26" s="3" t="s">
        <v>231</v>
      </c>
      <c r="Q26" s="12" t="str">
        <f>HYPERLINK("https://drive.google.com/file/d/1EQdaqQidTCyiCOwZo67bUi5Yv8pGzF6s/view?usp=drive_link","Buka Dokumen")</f>
        <v>Buka Dokumen</v>
      </c>
      <c r="R26" s="15" t="s">
        <v>232</v>
      </c>
    </row>
    <row r="27" spans="1:18" ht="126.75" customHeight="1">
      <c r="A27" s="6">
        <v>25</v>
      </c>
      <c r="B27" s="9" t="s">
        <v>18</v>
      </c>
      <c r="C27" s="3" t="s">
        <v>33</v>
      </c>
      <c r="D27" s="3" t="s">
        <v>233</v>
      </c>
      <c r="E27" s="3" t="s">
        <v>21</v>
      </c>
      <c r="F27" s="3" t="s">
        <v>22</v>
      </c>
      <c r="G27" s="3" t="s">
        <v>234</v>
      </c>
      <c r="H27" s="3" t="s">
        <v>235</v>
      </c>
      <c r="I27" s="3" t="s">
        <v>236</v>
      </c>
      <c r="J27" s="9" t="s">
        <v>26</v>
      </c>
      <c r="K27" s="9" t="s">
        <v>237</v>
      </c>
      <c r="L27" s="9" t="s">
        <v>238</v>
      </c>
      <c r="M27" s="9" t="s">
        <v>29</v>
      </c>
      <c r="N27" s="9">
        <v>7</v>
      </c>
      <c r="O27" s="3" t="s">
        <v>239</v>
      </c>
      <c r="P27" s="3" t="s">
        <v>240</v>
      </c>
      <c r="Q27" s="12" t="str">
        <f>HYPERLINK("https://drive.google.com/file/d/111e7PiUjnim182fvuFnySxeJzqn285B9/view?usp=drive_link","Buka Dokumen")</f>
        <v>Buka Dokumen</v>
      </c>
      <c r="R27" s="15" t="s">
        <v>241</v>
      </c>
    </row>
    <row r="28" spans="1:18" ht="126.75" customHeight="1">
      <c r="A28" s="6">
        <v>26</v>
      </c>
      <c r="B28" s="9" t="s">
        <v>18</v>
      </c>
      <c r="C28" s="3" t="s">
        <v>242</v>
      </c>
      <c r="D28" s="3" t="s">
        <v>243</v>
      </c>
      <c r="E28" s="3" t="s">
        <v>244</v>
      </c>
      <c r="F28" s="3" t="s">
        <v>56</v>
      </c>
      <c r="G28" s="3" t="s">
        <v>245</v>
      </c>
      <c r="H28" s="3" t="s">
        <v>246</v>
      </c>
      <c r="I28" s="3" t="s">
        <v>245</v>
      </c>
      <c r="J28" s="9" t="s">
        <v>60</v>
      </c>
      <c r="K28" s="9" t="s">
        <v>247</v>
      </c>
      <c r="L28" s="9" t="s">
        <v>247</v>
      </c>
      <c r="M28" s="9" t="s">
        <v>29</v>
      </c>
      <c r="N28" s="9">
        <v>1</v>
      </c>
      <c r="O28" s="3" t="s">
        <v>248</v>
      </c>
      <c r="P28" s="3" t="s">
        <v>249</v>
      </c>
      <c r="Q28" s="12" t="str">
        <f>HYPERLINK("https://drive.google.com/file/d/1yBLZXXGS19gMVkoLOxUqxOgD_VrQFzyY/view?usp=drive_link","Buka Dokumen")</f>
        <v>Buka Dokumen</v>
      </c>
      <c r="R28" s="15" t="s">
        <v>250</v>
      </c>
    </row>
    <row r="29" spans="1:18" ht="126.75" customHeight="1">
      <c r="A29" s="6">
        <v>27</v>
      </c>
      <c r="B29" s="9"/>
      <c r="C29" s="3" t="s">
        <v>242</v>
      </c>
      <c r="D29" s="3"/>
      <c r="E29" s="3" t="s">
        <v>244</v>
      </c>
      <c r="F29" s="3"/>
      <c r="G29" s="3"/>
      <c r="H29" s="3"/>
      <c r="I29" s="3"/>
      <c r="J29" s="9"/>
      <c r="K29" s="9"/>
      <c r="L29" s="9"/>
      <c r="M29" s="9" t="s">
        <v>29</v>
      </c>
      <c r="N29" s="9">
        <v>4</v>
      </c>
      <c r="O29" s="3" t="s">
        <v>251</v>
      </c>
      <c r="P29" s="3" t="s">
        <v>252</v>
      </c>
      <c r="Q29" s="12" t="s">
        <v>198</v>
      </c>
      <c r="R29" s="15"/>
    </row>
    <row r="30" spans="1:18" ht="126.75" customHeight="1">
      <c r="A30" s="6">
        <v>28</v>
      </c>
      <c r="B30" s="9" t="s">
        <v>253</v>
      </c>
      <c r="C30" s="3" t="s">
        <v>33</v>
      </c>
      <c r="D30" s="3" t="s">
        <v>254</v>
      </c>
      <c r="E30" s="3" t="s">
        <v>21</v>
      </c>
      <c r="F30" s="3" t="s">
        <v>22</v>
      </c>
      <c r="G30" s="3" t="s">
        <v>255</v>
      </c>
      <c r="H30" s="3" t="s">
        <v>256</v>
      </c>
      <c r="I30" s="3" t="s">
        <v>257</v>
      </c>
      <c r="J30" s="9" t="s">
        <v>26</v>
      </c>
      <c r="K30" s="9" t="s">
        <v>258</v>
      </c>
      <c r="L30" s="9" t="s">
        <v>259</v>
      </c>
      <c r="M30" s="9" t="s">
        <v>29</v>
      </c>
      <c r="N30" s="9">
        <v>1</v>
      </c>
      <c r="O30" s="3" t="s">
        <v>260</v>
      </c>
      <c r="P30" s="3" t="s">
        <v>249</v>
      </c>
      <c r="Q30" s="12" t="str">
        <f>HYPERLINK("https://drive.google.com/file/d/1TYBodEzBMyVgwHgL2cl6NTE9l5TjA6d5/view?usp=drive_link","Buka Dokumen")</f>
        <v>Buka Dokumen</v>
      </c>
      <c r="R30" s="15" t="s">
        <v>261</v>
      </c>
    </row>
    <row r="31" spans="1:18" ht="126.75" customHeight="1">
      <c r="A31" s="6">
        <v>29</v>
      </c>
      <c r="B31" s="9"/>
      <c r="C31" s="3"/>
      <c r="D31" s="3"/>
      <c r="E31" s="3" t="s">
        <v>21</v>
      </c>
      <c r="F31" s="3"/>
      <c r="G31" s="3"/>
      <c r="H31" s="3"/>
      <c r="I31" s="3"/>
      <c r="J31" s="9"/>
      <c r="K31" s="9"/>
      <c r="L31" s="9"/>
      <c r="M31" s="9" t="s">
        <v>29</v>
      </c>
      <c r="N31" s="9">
        <v>73</v>
      </c>
      <c r="O31" s="3" t="s">
        <v>262</v>
      </c>
      <c r="P31" s="3" t="s">
        <v>263</v>
      </c>
      <c r="Q31" s="12" t="s">
        <v>198</v>
      </c>
      <c r="R31" s="15"/>
    </row>
    <row r="32" spans="1:18" ht="126.75" customHeight="1">
      <c r="A32" s="6">
        <v>30</v>
      </c>
      <c r="B32" s="9" t="s">
        <v>253</v>
      </c>
      <c r="C32" s="3" t="s">
        <v>33</v>
      </c>
      <c r="D32" s="3" t="s">
        <v>264</v>
      </c>
      <c r="E32" s="3" t="s">
        <v>35</v>
      </c>
      <c r="F32" s="3" t="s">
        <v>22</v>
      </c>
      <c r="G32" s="3" t="s">
        <v>265</v>
      </c>
      <c r="H32" s="3" t="s">
        <v>266</v>
      </c>
      <c r="I32" s="3" t="s">
        <v>267</v>
      </c>
      <c r="J32" s="9" t="s">
        <v>26</v>
      </c>
      <c r="K32" s="9" t="s">
        <v>268</v>
      </c>
      <c r="L32" s="9" t="s">
        <v>269</v>
      </c>
      <c r="M32" s="9" t="s">
        <v>29</v>
      </c>
      <c r="N32" s="9">
        <v>1</v>
      </c>
      <c r="O32" s="3" t="s">
        <v>270</v>
      </c>
      <c r="P32" s="3" t="s">
        <v>249</v>
      </c>
      <c r="Q32" s="12" t="s">
        <v>198</v>
      </c>
      <c r="R32" s="15"/>
    </row>
    <row r="33" spans="1:18" ht="409" customHeight="1">
      <c r="A33" s="6">
        <v>31</v>
      </c>
      <c r="B33" s="9"/>
      <c r="C33" s="3"/>
      <c r="D33" s="3"/>
      <c r="E33" s="3" t="s">
        <v>35</v>
      </c>
      <c r="F33" s="3"/>
      <c r="G33" s="3"/>
      <c r="H33" s="3"/>
      <c r="I33" s="3"/>
      <c r="J33" s="9"/>
      <c r="K33" s="9"/>
      <c r="L33" s="9"/>
      <c r="M33" s="9" t="s">
        <v>29</v>
      </c>
      <c r="N33" s="9">
        <v>60</v>
      </c>
      <c r="O33" s="3" t="s">
        <v>271</v>
      </c>
      <c r="P33" s="3" t="s">
        <v>272</v>
      </c>
      <c r="Q33" s="12" t="s">
        <v>198</v>
      </c>
      <c r="R33" s="15"/>
    </row>
    <row r="34" spans="1:18" ht="126.75" customHeight="1">
      <c r="A34" s="6">
        <v>32</v>
      </c>
      <c r="B34" s="9" t="s">
        <v>253</v>
      </c>
      <c r="C34" s="3" t="s">
        <v>19</v>
      </c>
      <c r="D34" s="3" t="s">
        <v>273</v>
      </c>
      <c r="E34" s="3" t="s">
        <v>21</v>
      </c>
      <c r="F34" s="3" t="s">
        <v>22</v>
      </c>
      <c r="G34" s="3" t="s">
        <v>274</v>
      </c>
      <c r="H34" s="3" t="s">
        <v>275</v>
      </c>
      <c r="I34" s="3" t="s">
        <v>276</v>
      </c>
      <c r="J34" s="9" t="s">
        <v>60</v>
      </c>
      <c r="K34" s="9" t="s">
        <v>277</v>
      </c>
      <c r="L34" s="9" t="s">
        <v>278</v>
      </c>
      <c r="M34" s="9" t="s">
        <v>29</v>
      </c>
      <c r="N34" s="9">
        <v>1</v>
      </c>
      <c r="O34" s="3" t="s">
        <v>279</v>
      </c>
      <c r="P34" s="3" t="s">
        <v>249</v>
      </c>
      <c r="Q34" s="12" t="str">
        <f>HYPERLINK("https://drive.google.com/file/d/1SBEITyM1nz3wdjzFPKR2b7p5u4C-X9oq/view?usp=drive_link","Buka Dokumen")</f>
        <v>Buka Dokumen</v>
      </c>
      <c r="R34" s="15" t="s">
        <v>280</v>
      </c>
    </row>
    <row r="35" spans="1:18" ht="126.75" customHeight="1">
      <c r="A35" s="6">
        <v>33</v>
      </c>
      <c r="B35" s="9" t="s">
        <v>253</v>
      </c>
      <c r="C35" s="3" t="s">
        <v>33</v>
      </c>
      <c r="D35" s="3" t="s">
        <v>281</v>
      </c>
      <c r="E35" s="3" t="s">
        <v>21</v>
      </c>
      <c r="F35" s="3" t="s">
        <v>22</v>
      </c>
      <c r="G35" s="3" t="s">
        <v>282</v>
      </c>
      <c r="H35" s="3" t="s">
        <v>283</v>
      </c>
      <c r="I35" s="3" t="s">
        <v>284</v>
      </c>
      <c r="J35" s="9" t="s">
        <v>26</v>
      </c>
      <c r="K35" s="9" t="s">
        <v>285</v>
      </c>
      <c r="L35" s="9" t="s">
        <v>286</v>
      </c>
      <c r="M35" s="9" t="s">
        <v>29</v>
      </c>
      <c r="N35" s="9">
        <v>1</v>
      </c>
      <c r="O35" s="3" t="s">
        <v>287</v>
      </c>
      <c r="P35" s="3" t="s">
        <v>288</v>
      </c>
      <c r="Q35" s="12" t="str">
        <f>HYPERLINK("https://drive.google.com/file/d/1CvmRYNL_7U5v8CGOkqN2eW-1cEsSKtbH/view?usp=drive_link","Buka Dokumen")</f>
        <v>Buka Dokumen</v>
      </c>
      <c r="R35" s="15" t="s">
        <v>289</v>
      </c>
    </row>
    <row r="36" spans="1:18" ht="126.75" customHeight="1">
      <c r="A36" s="6">
        <v>34</v>
      </c>
      <c r="B36" s="9" t="s">
        <v>253</v>
      </c>
      <c r="C36" s="3" t="s">
        <v>33</v>
      </c>
      <c r="D36" s="3" t="s">
        <v>290</v>
      </c>
      <c r="E36" s="3" t="s">
        <v>21</v>
      </c>
      <c r="F36" s="3" t="s">
        <v>22</v>
      </c>
      <c r="G36" s="3" t="s">
        <v>291</v>
      </c>
      <c r="H36" s="3" t="s">
        <v>292</v>
      </c>
      <c r="I36" s="3" t="s">
        <v>293</v>
      </c>
      <c r="J36" s="9" t="s">
        <v>26</v>
      </c>
      <c r="K36" s="9" t="s">
        <v>285</v>
      </c>
      <c r="L36" s="9" t="s">
        <v>286</v>
      </c>
      <c r="M36" s="9" t="s">
        <v>29</v>
      </c>
      <c r="N36" s="9">
        <v>1</v>
      </c>
      <c r="O36" s="3" t="s">
        <v>294</v>
      </c>
      <c r="P36" s="3" t="s">
        <v>249</v>
      </c>
      <c r="Q36" s="12" t="str">
        <f>HYPERLINK("https://drive.google.com/file/d/1cYKc4vlBm5iT44NrFOp6RsBRiGbpq7ur/view?usp=drive_link","Buka Dokumen")</f>
        <v>Buka Dokumen</v>
      </c>
      <c r="R36" s="15" t="s">
        <v>295</v>
      </c>
    </row>
    <row r="37" spans="1:18" ht="126.75" customHeight="1">
      <c r="A37" s="6">
        <v>35</v>
      </c>
      <c r="B37" s="9" t="s">
        <v>253</v>
      </c>
      <c r="C37" s="3" t="s">
        <v>19</v>
      </c>
      <c r="D37" s="3" t="s">
        <v>296</v>
      </c>
      <c r="E37" s="3" t="s">
        <v>21</v>
      </c>
      <c r="F37" s="3" t="s">
        <v>22</v>
      </c>
      <c r="G37" s="3" t="s">
        <v>297</v>
      </c>
      <c r="H37" s="3" t="s">
        <v>298</v>
      </c>
      <c r="I37" s="3" t="s">
        <v>299</v>
      </c>
      <c r="J37" s="9" t="s">
        <v>26</v>
      </c>
      <c r="K37" s="9" t="s">
        <v>300</v>
      </c>
      <c r="L37" s="9" t="s">
        <v>301</v>
      </c>
      <c r="M37" s="9" t="s">
        <v>29</v>
      </c>
      <c r="N37" s="9">
        <v>1</v>
      </c>
      <c r="O37" s="3" t="s">
        <v>302</v>
      </c>
      <c r="P37" s="3" t="s">
        <v>249</v>
      </c>
      <c r="Q37" s="12" t="str">
        <f>HYPERLINK("https://drive.google.com/file/d/1ekvWcJuPOuJz1_0Bn7p1n9hH8c7p2aTe/view?usp=drive_link","Buka Dokumen")</f>
        <v>Buka Dokumen</v>
      </c>
      <c r="R37" s="15" t="s">
        <v>303</v>
      </c>
    </row>
    <row r="38" spans="1:18" ht="126.75" customHeight="1">
      <c r="A38" s="6">
        <v>36</v>
      </c>
      <c r="B38" s="9"/>
      <c r="C38" s="3"/>
      <c r="D38" s="3"/>
      <c r="E38" s="3" t="s">
        <v>244</v>
      </c>
      <c r="F38" s="3"/>
      <c r="G38" s="3"/>
      <c r="H38" s="3"/>
      <c r="I38" s="3"/>
      <c r="J38" s="9"/>
      <c r="K38" s="9"/>
      <c r="L38" s="9"/>
      <c r="M38" s="9" t="s">
        <v>29</v>
      </c>
      <c r="N38" s="9">
        <v>1</v>
      </c>
      <c r="O38" s="3" t="s">
        <v>304</v>
      </c>
      <c r="P38" s="3" t="s">
        <v>288</v>
      </c>
      <c r="Q38" s="12" t="s">
        <v>198</v>
      </c>
      <c r="R38" s="15"/>
    </row>
    <row r="39" spans="1:18" ht="126.75" customHeight="1">
      <c r="A39" s="6">
        <v>37</v>
      </c>
      <c r="B39" s="9" t="s">
        <v>253</v>
      </c>
      <c r="C39" s="3" t="s">
        <v>19</v>
      </c>
      <c r="D39" s="3" t="s">
        <v>305</v>
      </c>
      <c r="E39" s="3" t="s">
        <v>35</v>
      </c>
      <c r="F39" s="3" t="s">
        <v>22</v>
      </c>
      <c r="G39" s="3" t="s">
        <v>306</v>
      </c>
      <c r="H39" s="3" t="s">
        <v>307</v>
      </c>
      <c r="I39" s="3" t="s">
        <v>308</v>
      </c>
      <c r="J39" s="9" t="s">
        <v>26</v>
      </c>
      <c r="K39" s="9" t="s">
        <v>309</v>
      </c>
      <c r="L39" s="9" t="s">
        <v>310</v>
      </c>
      <c r="M39" s="9" t="s">
        <v>29</v>
      </c>
      <c r="N39" s="9">
        <v>1</v>
      </c>
      <c r="O39" s="3" t="s">
        <v>302</v>
      </c>
      <c r="P39" s="3" t="s">
        <v>249</v>
      </c>
      <c r="Q39" s="12" t="str">
        <f>HYPERLINK("https://drive.google.com/file/d/18kpRu_0IYRuS8vNtSpIXYtB0_o15OPFK/view?usp=drive_link","Buka Dokumen")</f>
        <v>Buka Dokumen</v>
      </c>
      <c r="R39" s="15" t="s">
        <v>311</v>
      </c>
    </row>
    <row r="40" spans="1:18" ht="126.75" customHeight="1">
      <c r="A40" s="6">
        <v>38</v>
      </c>
      <c r="B40" s="9" t="s">
        <v>253</v>
      </c>
      <c r="C40" s="3" t="s">
        <v>33</v>
      </c>
      <c r="D40" s="3" t="s">
        <v>312</v>
      </c>
      <c r="E40" s="3" t="s">
        <v>21</v>
      </c>
      <c r="F40" s="3" t="s">
        <v>22</v>
      </c>
      <c r="G40" s="3" t="s">
        <v>313</v>
      </c>
      <c r="H40" s="3" t="s">
        <v>314</v>
      </c>
      <c r="I40" s="3" t="s">
        <v>315</v>
      </c>
      <c r="J40" s="9" t="s">
        <v>26</v>
      </c>
      <c r="K40" s="9" t="s">
        <v>316</v>
      </c>
      <c r="L40" s="9" t="s">
        <v>317</v>
      </c>
      <c r="M40" s="9" t="s">
        <v>29</v>
      </c>
      <c r="N40" s="9">
        <v>1</v>
      </c>
      <c r="O40" s="3" t="s">
        <v>318</v>
      </c>
      <c r="P40" s="3" t="s">
        <v>288</v>
      </c>
      <c r="Q40" s="12" t="str">
        <f>HYPERLINK("https://drive.google.com/file/d/1KBD9uYZ8eDBHmjWK8NRafcR2_sQGwsZG/view?usp=drive_link","Buka Dokumen")</f>
        <v>Buka Dokumen</v>
      </c>
      <c r="R40" s="15" t="s">
        <v>319</v>
      </c>
    </row>
    <row r="41" spans="1:18" ht="126.75" customHeight="1">
      <c r="A41" s="6">
        <v>39</v>
      </c>
      <c r="B41" s="9" t="s">
        <v>253</v>
      </c>
      <c r="C41" s="3" t="s">
        <v>33</v>
      </c>
      <c r="D41" s="3" t="s">
        <v>320</v>
      </c>
      <c r="E41" s="3" t="s">
        <v>35</v>
      </c>
      <c r="F41" s="3" t="s">
        <v>22</v>
      </c>
      <c r="G41" s="3" t="s">
        <v>321</v>
      </c>
      <c r="H41" s="3" t="s">
        <v>322</v>
      </c>
      <c r="I41" s="3" t="s">
        <v>323</v>
      </c>
      <c r="J41" s="9" t="s">
        <v>26</v>
      </c>
      <c r="K41" s="9" t="s">
        <v>300</v>
      </c>
      <c r="L41" s="9" t="s">
        <v>301</v>
      </c>
      <c r="M41" s="9" t="s">
        <v>29</v>
      </c>
      <c r="N41" s="9">
        <v>1</v>
      </c>
      <c r="O41" s="3" t="s">
        <v>324</v>
      </c>
      <c r="P41" s="3" t="s">
        <v>325</v>
      </c>
      <c r="Q41" s="12" t="str">
        <f>HYPERLINK("https://drive.google.com/file/d/1LE1evabMX9j4mj2S-P5naQBPJPeCvzmC/view?usp=sharing","Buka Dokumen")</f>
        <v>Buka Dokumen</v>
      </c>
      <c r="R41" s="15" t="s">
        <v>326</v>
      </c>
    </row>
    <row r="42" spans="1:18" ht="126.75" customHeight="1">
      <c r="A42" s="6">
        <v>40</v>
      </c>
      <c r="B42" s="9" t="s">
        <v>253</v>
      </c>
      <c r="C42" s="3" t="s">
        <v>33</v>
      </c>
      <c r="D42" s="3" t="s">
        <v>327</v>
      </c>
      <c r="E42" s="3" t="s">
        <v>35</v>
      </c>
      <c r="F42" s="3" t="s">
        <v>22</v>
      </c>
      <c r="G42" s="3" t="s">
        <v>328</v>
      </c>
      <c r="H42" s="3" t="s">
        <v>329</v>
      </c>
      <c r="I42" s="3" t="s">
        <v>330</v>
      </c>
      <c r="J42" s="9" t="s">
        <v>26</v>
      </c>
      <c r="K42" s="9" t="s">
        <v>300</v>
      </c>
      <c r="L42" s="9" t="s">
        <v>301</v>
      </c>
      <c r="M42" s="9" t="s">
        <v>29</v>
      </c>
      <c r="N42" s="9">
        <v>1</v>
      </c>
      <c r="O42" s="3" t="s">
        <v>331</v>
      </c>
      <c r="P42" s="3" t="s">
        <v>332</v>
      </c>
      <c r="Q42" s="12" t="str">
        <f>HYPERLINK("https://drive.google.com/file/d/1d6lZnAoRVRWr1UvTTAFKD3jRnvTocyls/view?usp=sharing","Buka Dokumen")</f>
        <v>Buka Dokumen</v>
      </c>
      <c r="R42" s="15" t="s">
        <v>333</v>
      </c>
    </row>
    <row r="43" spans="1:18" ht="126.75" customHeight="1">
      <c r="A43" s="6">
        <v>41</v>
      </c>
      <c r="B43" s="9" t="s">
        <v>253</v>
      </c>
      <c r="C43" s="3" t="s">
        <v>33</v>
      </c>
      <c r="D43" s="3" t="s">
        <v>334</v>
      </c>
      <c r="E43" s="3" t="s">
        <v>35</v>
      </c>
      <c r="F43" s="3" t="s">
        <v>22</v>
      </c>
      <c r="G43" s="3" t="s">
        <v>335</v>
      </c>
      <c r="H43" s="3" t="s">
        <v>336</v>
      </c>
      <c r="I43" s="3" t="s">
        <v>337</v>
      </c>
      <c r="J43" s="9" t="s">
        <v>26</v>
      </c>
      <c r="K43" s="9" t="s">
        <v>300</v>
      </c>
      <c r="L43" s="9" t="s">
        <v>301</v>
      </c>
      <c r="M43" s="9" t="s">
        <v>29</v>
      </c>
      <c r="N43" s="9">
        <v>1</v>
      </c>
      <c r="O43" s="3" t="s">
        <v>338</v>
      </c>
      <c r="P43" s="3" t="s">
        <v>325</v>
      </c>
      <c r="Q43" s="12" t="str">
        <f>HYPERLINK("https://drive.google.com/file/d/1OKPe7-nMeh42t_eLWNU9kwLx8A9YQhRC/view?usp=sharing","Buka Dokumen")</f>
        <v>Buka Dokumen</v>
      </c>
      <c r="R43" s="15" t="s">
        <v>339</v>
      </c>
    </row>
    <row r="44" spans="1:18" ht="126.75" customHeight="1">
      <c r="A44" s="6">
        <v>42</v>
      </c>
      <c r="B44" s="9" t="s">
        <v>253</v>
      </c>
      <c r="C44" s="3" t="s">
        <v>19</v>
      </c>
      <c r="D44" s="3" t="s">
        <v>340</v>
      </c>
      <c r="E44" s="3" t="s">
        <v>21</v>
      </c>
      <c r="F44" s="3" t="s">
        <v>22</v>
      </c>
      <c r="G44" s="3" t="s">
        <v>341</v>
      </c>
      <c r="H44" s="3" t="s">
        <v>342</v>
      </c>
      <c r="I44" s="3" t="s">
        <v>343</v>
      </c>
      <c r="J44" s="9" t="s">
        <v>26</v>
      </c>
      <c r="K44" s="9" t="s">
        <v>300</v>
      </c>
      <c r="L44" s="9" t="s">
        <v>301</v>
      </c>
      <c r="M44" s="9" t="s">
        <v>29</v>
      </c>
      <c r="N44" s="9">
        <v>1</v>
      </c>
      <c r="O44" s="3" t="s">
        <v>279</v>
      </c>
      <c r="P44" s="3" t="s">
        <v>249</v>
      </c>
      <c r="Q44" s="12" t="str">
        <f>HYPERLINK("https://drive.google.com/file/d/1I_r578tnDT6d0EPbsyTKWBZ5wmcCWwrn/view?usp=sharing","Buka Dokumen")</f>
        <v>Buka Dokumen</v>
      </c>
      <c r="R44" s="15" t="s">
        <v>344</v>
      </c>
    </row>
    <row r="45" spans="1:18" ht="126.75" customHeight="1">
      <c r="A45" s="6">
        <v>43</v>
      </c>
      <c r="B45" s="9" t="s">
        <v>253</v>
      </c>
      <c r="C45" s="3" t="s">
        <v>19</v>
      </c>
      <c r="D45" s="3" t="s">
        <v>345</v>
      </c>
      <c r="E45" s="3" t="s">
        <v>21</v>
      </c>
      <c r="F45" s="3" t="s">
        <v>22</v>
      </c>
      <c r="G45" s="3" t="s">
        <v>346</v>
      </c>
      <c r="H45" s="3" t="s">
        <v>342</v>
      </c>
      <c r="I45" s="3" t="s">
        <v>347</v>
      </c>
      <c r="J45" s="9" t="s">
        <v>26</v>
      </c>
      <c r="K45" s="9" t="s">
        <v>300</v>
      </c>
      <c r="L45" s="9" t="s">
        <v>301</v>
      </c>
      <c r="M45" s="9" t="s">
        <v>29</v>
      </c>
      <c r="N45" s="9">
        <v>1</v>
      </c>
      <c r="O45" s="3" t="s">
        <v>302</v>
      </c>
      <c r="P45" s="3" t="s">
        <v>249</v>
      </c>
      <c r="Q45" s="12" t="str">
        <f>HYPERLINK("https://drive.google.com/file/d/1-BXr8xGdLNQOWk8vsfkyb5jw1wNR6Md0/view?usp=sharing","Buka Dokumen")</f>
        <v>Buka Dokumen</v>
      </c>
      <c r="R45" s="15" t="s">
        <v>348</v>
      </c>
    </row>
    <row r="46" spans="1:18" ht="126.75" customHeight="1">
      <c r="A46" s="6">
        <v>44</v>
      </c>
      <c r="B46" s="9" t="s">
        <v>253</v>
      </c>
      <c r="C46" s="3" t="s">
        <v>33</v>
      </c>
      <c r="D46" s="3" t="s">
        <v>349</v>
      </c>
      <c r="E46" s="3" t="s">
        <v>21</v>
      </c>
      <c r="F46" s="3" t="s">
        <v>22</v>
      </c>
      <c r="G46" s="3" t="s">
        <v>350</v>
      </c>
      <c r="H46" s="3" t="s">
        <v>351</v>
      </c>
      <c r="I46" s="3" t="s">
        <v>352</v>
      </c>
      <c r="J46" s="9" t="s">
        <v>26</v>
      </c>
      <c r="K46" s="9" t="s">
        <v>316</v>
      </c>
      <c r="L46" s="9" t="s">
        <v>317</v>
      </c>
      <c r="M46" s="9" t="s">
        <v>29</v>
      </c>
      <c r="N46" s="9">
        <v>1</v>
      </c>
      <c r="O46" s="3" t="s">
        <v>353</v>
      </c>
      <c r="P46" s="3" t="s">
        <v>249</v>
      </c>
      <c r="Q46" s="12" t="str">
        <f>HYPERLINK("https://drive.google.com/file/d/1tMS6RfpAV4d2QDG9-5m__jGcBMsH8UNd/view?usp=sharing","Buka Dokumen")</f>
        <v>Buka Dokumen</v>
      </c>
      <c r="R46" s="15" t="s">
        <v>354</v>
      </c>
    </row>
    <row r="47" spans="1:18" ht="126.75" customHeight="1">
      <c r="A47" s="6">
        <v>45</v>
      </c>
      <c r="B47" s="9" t="s">
        <v>253</v>
      </c>
      <c r="C47" s="3" t="s">
        <v>108</v>
      </c>
      <c r="D47" s="3" t="s">
        <v>355</v>
      </c>
      <c r="E47" s="3" t="s">
        <v>21</v>
      </c>
      <c r="F47" s="3" t="s">
        <v>56</v>
      </c>
      <c r="G47" s="3" t="s">
        <v>356</v>
      </c>
      <c r="H47" s="3" t="s">
        <v>357</v>
      </c>
      <c r="I47" s="3" t="s">
        <v>358</v>
      </c>
      <c r="J47" s="9" t="s">
        <v>26</v>
      </c>
      <c r="K47" s="9" t="s">
        <v>359</v>
      </c>
      <c r="L47" s="9" t="s">
        <v>360</v>
      </c>
      <c r="M47" s="9" t="s">
        <v>29</v>
      </c>
      <c r="N47" s="9">
        <v>1</v>
      </c>
      <c r="O47" s="3" t="s">
        <v>361</v>
      </c>
      <c r="P47" s="3" t="s">
        <v>288</v>
      </c>
      <c r="Q47" s="12" t="str">
        <f>HYPERLINK("https://drive.google.com/file/d/1ZoWccBGTDCLJGRGbSyV659Vo2wkRt9yt/view?usp=sharing","Buka Dokumen")</f>
        <v>Buka Dokumen</v>
      </c>
      <c r="R47" s="15" t="s">
        <v>362</v>
      </c>
    </row>
    <row r="48" spans="1:18" ht="126.75" customHeight="1">
      <c r="A48" s="6">
        <v>46</v>
      </c>
      <c r="B48" s="9" t="s">
        <v>253</v>
      </c>
      <c r="C48" s="3" t="s">
        <v>33</v>
      </c>
      <c r="D48" s="3" t="s">
        <v>363</v>
      </c>
      <c r="E48" s="3" t="s">
        <v>55</v>
      </c>
      <c r="F48" s="3" t="s">
        <v>56</v>
      </c>
      <c r="G48" s="3" t="s">
        <v>364</v>
      </c>
      <c r="H48" s="3" t="s">
        <v>365</v>
      </c>
      <c r="I48" s="3" t="s">
        <v>366</v>
      </c>
      <c r="J48" s="9" t="s">
        <v>26</v>
      </c>
      <c r="K48" s="9" t="s">
        <v>367</v>
      </c>
      <c r="L48" s="9" t="s">
        <v>368</v>
      </c>
      <c r="M48" s="9" t="s">
        <v>29</v>
      </c>
      <c r="N48" s="9">
        <v>1</v>
      </c>
      <c r="O48" s="3" t="s">
        <v>369</v>
      </c>
      <c r="P48" s="3" t="s">
        <v>325</v>
      </c>
      <c r="Q48" s="12" t="str">
        <f>HYPERLINK("https://drive.google.com/file/d/1lJ06qRLtc_N2Gh9IQ_sEg8kbUwZNut-Y/view?usp=drive_link","Buka Dokumen")</f>
        <v>Buka Dokumen</v>
      </c>
      <c r="R48" s="15" t="s">
        <v>370</v>
      </c>
    </row>
    <row r="49" spans="1:18" ht="409" customHeight="1">
      <c r="A49" s="6">
        <v>47</v>
      </c>
      <c r="B49" s="9"/>
      <c r="C49" s="3"/>
      <c r="D49" s="3"/>
      <c r="E49" s="3" t="s">
        <v>55</v>
      </c>
      <c r="F49" s="3"/>
      <c r="G49" s="3"/>
      <c r="H49" s="3"/>
      <c r="I49" s="3"/>
      <c r="J49" s="9"/>
      <c r="K49" s="9"/>
      <c r="L49" s="9"/>
      <c r="M49" s="9"/>
      <c r="N49" s="9">
        <v>51</v>
      </c>
      <c r="O49" s="3" t="s">
        <v>371</v>
      </c>
      <c r="P49" s="3" t="s">
        <v>372</v>
      </c>
      <c r="Q49" s="12" t="s">
        <v>198</v>
      </c>
      <c r="R49" s="15"/>
    </row>
    <row r="50" spans="1:18" ht="126.75" customHeight="1">
      <c r="A50" s="6">
        <v>48</v>
      </c>
      <c r="B50" s="9" t="s">
        <v>253</v>
      </c>
      <c r="C50" s="3" t="s">
        <v>186</v>
      </c>
      <c r="D50" s="3" t="s">
        <v>373</v>
      </c>
      <c r="E50" s="3" t="s">
        <v>35</v>
      </c>
      <c r="F50" s="3" t="s">
        <v>22</v>
      </c>
      <c r="G50" s="3" t="s">
        <v>374</v>
      </c>
      <c r="H50" s="3" t="s">
        <v>375</v>
      </c>
      <c r="I50" s="3" t="s">
        <v>376</v>
      </c>
      <c r="J50" s="9" t="s">
        <v>60</v>
      </c>
      <c r="K50" s="9" t="s">
        <v>377</v>
      </c>
      <c r="L50" s="9" t="s">
        <v>378</v>
      </c>
      <c r="M50" s="9" t="s">
        <v>29</v>
      </c>
      <c r="N50" s="9">
        <v>1</v>
      </c>
      <c r="O50" s="3" t="s">
        <v>379</v>
      </c>
      <c r="P50" s="3" t="s">
        <v>325</v>
      </c>
      <c r="Q50" s="12" t="str">
        <f>HYPERLINK("https://drive.google.com/file/d/1Dd3MYViYz6EGHZg03WZ8ctxZ-rewNdic/view?usp=sharing","Buka Dokumen")</f>
        <v>Buka Dokumen</v>
      </c>
      <c r="R50" s="15" t="s">
        <v>380</v>
      </c>
    </row>
    <row r="51" spans="1:18" ht="126.75" customHeight="1">
      <c r="A51" s="6">
        <v>49</v>
      </c>
      <c r="B51" s="9" t="s">
        <v>253</v>
      </c>
      <c r="C51" s="3" t="s">
        <v>33</v>
      </c>
      <c r="D51" s="3" t="s">
        <v>381</v>
      </c>
      <c r="E51" s="3" t="s">
        <v>35</v>
      </c>
      <c r="F51" s="3" t="s">
        <v>382</v>
      </c>
      <c r="G51" s="3" t="s">
        <v>383</v>
      </c>
      <c r="H51" s="3" t="s">
        <v>22</v>
      </c>
      <c r="I51" s="3" t="s">
        <v>384</v>
      </c>
      <c r="J51" s="9" t="s">
        <v>26</v>
      </c>
      <c r="K51" s="9" t="s">
        <v>385</v>
      </c>
      <c r="L51" s="9" t="s">
        <v>317</v>
      </c>
      <c r="M51" s="9" t="s">
        <v>29</v>
      </c>
      <c r="N51" s="9">
        <v>1</v>
      </c>
      <c r="O51" s="3" t="s">
        <v>386</v>
      </c>
      <c r="P51" s="3" t="s">
        <v>325</v>
      </c>
      <c r="Q51" s="12" t="str">
        <f>HYPERLINK("https://drive.google.com/file/d/1ILTV4Fqcbcbn_DjdcSRiL3er0jWRGcJd/view?usp=sharing","Buka Dokumen")</f>
        <v>Buka Dokumen</v>
      </c>
      <c r="R51" s="15" t="s">
        <v>387</v>
      </c>
    </row>
    <row r="52" spans="1:18" ht="126.75" customHeight="1">
      <c r="A52" s="6">
        <v>50</v>
      </c>
      <c r="B52" s="9" t="s">
        <v>253</v>
      </c>
      <c r="C52" s="3" t="s">
        <v>33</v>
      </c>
      <c r="D52" s="3" t="s">
        <v>388</v>
      </c>
      <c r="E52" s="3" t="s">
        <v>35</v>
      </c>
      <c r="F52" s="3" t="s">
        <v>22</v>
      </c>
      <c r="G52" s="3" t="s">
        <v>389</v>
      </c>
      <c r="H52" s="3" t="s">
        <v>390</v>
      </c>
      <c r="I52" s="3" t="s">
        <v>391</v>
      </c>
      <c r="J52" s="9" t="s">
        <v>60</v>
      </c>
      <c r="K52" s="9" t="s">
        <v>392</v>
      </c>
      <c r="L52" s="9" t="s">
        <v>393</v>
      </c>
      <c r="M52" s="9" t="s">
        <v>29</v>
      </c>
      <c r="N52" s="9">
        <v>1</v>
      </c>
      <c r="O52" s="3" t="s">
        <v>394</v>
      </c>
      <c r="P52" s="3" t="s">
        <v>325</v>
      </c>
      <c r="Q52" s="12" t="str">
        <f>HYPERLINK("https://drive.google.com/file/d/1IAv4BFC1ry37RZn0QegPv9ICqoNM3wCT/view?usp=sharing","Buka Dokumen")</f>
        <v>Buka Dokumen</v>
      </c>
      <c r="R52" s="15" t="s">
        <v>395</v>
      </c>
    </row>
    <row r="53" spans="1:18" ht="126.75" customHeight="1">
      <c r="A53" s="6">
        <v>51</v>
      </c>
      <c r="B53" s="9" t="s">
        <v>253</v>
      </c>
      <c r="C53" s="3" t="s">
        <v>33</v>
      </c>
      <c r="D53" s="3" t="s">
        <v>396</v>
      </c>
      <c r="E53" s="3" t="s">
        <v>21</v>
      </c>
      <c r="F53" s="3" t="s">
        <v>397</v>
      </c>
      <c r="G53" s="3" t="s">
        <v>398</v>
      </c>
      <c r="H53" s="3" t="s">
        <v>22</v>
      </c>
      <c r="I53" s="3" t="s">
        <v>399</v>
      </c>
      <c r="J53" s="9" t="s">
        <v>26</v>
      </c>
      <c r="K53" s="9" t="s">
        <v>400</v>
      </c>
      <c r="L53" s="9" t="s">
        <v>401</v>
      </c>
      <c r="M53" s="9" t="s">
        <v>29</v>
      </c>
      <c r="N53" s="9">
        <v>1</v>
      </c>
      <c r="O53" s="3" t="s">
        <v>402</v>
      </c>
      <c r="P53" s="3" t="s">
        <v>288</v>
      </c>
      <c r="Q53" s="12" t="str">
        <f>HYPERLINK("https://drive.google.com/file/d/1eN0Fo--zwj_UlCvMf5FW_ouqSU-ZqH98/view?usp=sharing","Buka Dokumen")</f>
        <v>Buka Dokumen</v>
      </c>
      <c r="R53" s="15" t="s">
        <v>403</v>
      </c>
    </row>
    <row r="54" spans="1:18" ht="126.75" customHeight="1">
      <c r="A54" s="6">
        <v>52</v>
      </c>
      <c r="B54" s="9" t="s">
        <v>385</v>
      </c>
      <c r="C54" s="3"/>
      <c r="D54" s="3"/>
      <c r="E54" s="3" t="s">
        <v>21</v>
      </c>
      <c r="F54" s="3"/>
      <c r="G54" s="3"/>
      <c r="H54" s="3"/>
      <c r="I54" s="3"/>
      <c r="J54" s="9"/>
      <c r="K54" s="9"/>
      <c r="L54" s="9"/>
      <c r="M54" s="9"/>
      <c r="N54" s="9">
        <v>1</v>
      </c>
      <c r="O54" s="3" t="s">
        <v>404</v>
      </c>
      <c r="P54" s="3" t="s">
        <v>288</v>
      </c>
      <c r="Q54" s="12" t="s">
        <v>198</v>
      </c>
      <c r="R54" s="15"/>
    </row>
    <row r="55" spans="1:18" ht="126.75" customHeight="1">
      <c r="A55" s="6">
        <v>53</v>
      </c>
      <c r="B55" s="9" t="s">
        <v>253</v>
      </c>
      <c r="C55" s="3" t="s">
        <v>19</v>
      </c>
      <c r="D55" s="3" t="s">
        <v>405</v>
      </c>
      <c r="E55" s="3" t="s">
        <v>55</v>
      </c>
      <c r="F55" s="3" t="s">
        <v>406</v>
      </c>
      <c r="G55" s="3" t="s">
        <v>407</v>
      </c>
      <c r="H55" s="3" t="s">
        <v>408</v>
      </c>
      <c r="I55" s="3" t="s">
        <v>409</v>
      </c>
      <c r="J55" s="9" t="s">
        <v>60</v>
      </c>
      <c r="K55" s="9" t="s">
        <v>410</v>
      </c>
      <c r="L55" s="9" t="s">
        <v>411</v>
      </c>
      <c r="M55" s="9" t="s">
        <v>29</v>
      </c>
      <c r="N55" s="9">
        <v>1</v>
      </c>
      <c r="O55" s="3" t="s">
        <v>412</v>
      </c>
      <c r="P55" s="3" t="s">
        <v>249</v>
      </c>
      <c r="Q55" s="12" t="str">
        <f>HYPERLINK("https://drive.google.com/file/d/1Y6aMl450sZRyCOcuYVomtLfFxPVbvLEo/view?usp=sharing","Buka Dokumen")</f>
        <v>Buka Dokumen</v>
      </c>
      <c r="R55" s="15" t="s">
        <v>413</v>
      </c>
    </row>
    <row r="56" spans="1:18" ht="126.75" customHeight="1">
      <c r="A56" s="6">
        <v>54</v>
      </c>
      <c r="B56" s="9" t="s">
        <v>414</v>
      </c>
      <c r="C56" s="3" t="s">
        <v>33</v>
      </c>
      <c r="D56" s="3" t="s">
        <v>415</v>
      </c>
      <c r="E56" s="3" t="s">
        <v>55</v>
      </c>
      <c r="F56" s="3" t="s">
        <v>416</v>
      </c>
      <c r="G56" s="3" t="s">
        <v>417</v>
      </c>
      <c r="H56" s="3" t="s">
        <v>418</v>
      </c>
      <c r="I56" s="3" t="s">
        <v>419</v>
      </c>
      <c r="J56" s="9" t="s">
        <v>420</v>
      </c>
      <c r="K56" s="9" t="s">
        <v>421</v>
      </c>
      <c r="L56" s="9" t="s">
        <v>422</v>
      </c>
      <c r="M56" s="9" t="s">
        <v>29</v>
      </c>
      <c r="N56" s="9">
        <v>1</v>
      </c>
      <c r="O56" s="3" t="s">
        <v>423</v>
      </c>
      <c r="P56" s="3" t="s">
        <v>288</v>
      </c>
      <c r="Q56" s="12" t="str">
        <f>HYPERLINK("https://drive.google.com/file/d/1LgXZbKhTzmZCgax4leAqTDtlunBHE7iH/view?usp=share_link","Buka Dokumen")</f>
        <v>Buka Dokumen</v>
      </c>
      <c r="R56" s="15" t="s">
        <v>424</v>
      </c>
    </row>
    <row r="57" spans="1:18" ht="126.75" customHeight="1">
      <c r="A57" s="6">
        <v>55</v>
      </c>
      <c r="B57" s="9" t="s">
        <v>414</v>
      </c>
      <c r="C57" s="3" t="s">
        <v>93</v>
      </c>
      <c r="D57" s="3" t="s">
        <v>425</v>
      </c>
      <c r="E57" s="3" t="s">
        <v>95</v>
      </c>
      <c r="F57" s="3" t="s">
        <v>426</v>
      </c>
      <c r="G57" s="3" t="s">
        <v>427</v>
      </c>
      <c r="H57" s="3" t="s">
        <v>428</v>
      </c>
      <c r="I57" s="3" t="s">
        <v>429</v>
      </c>
      <c r="J57" s="9" t="s">
        <v>60</v>
      </c>
      <c r="K57" s="9" t="s">
        <v>430</v>
      </c>
      <c r="L57" s="9" t="s">
        <v>431</v>
      </c>
      <c r="M57" s="9" t="s">
        <v>29</v>
      </c>
      <c r="N57" s="9">
        <v>1</v>
      </c>
      <c r="O57" s="3" t="s">
        <v>432</v>
      </c>
      <c r="P57" s="3" t="s">
        <v>288</v>
      </c>
      <c r="Q57" s="12" t="str">
        <f>HYPERLINK("https://drive.google.com/file/d/1OtrdlYu5vW_roCvzIgOU6dV5bMO6iI16/view?usp=drive_link","Buka Dokumen")</f>
        <v>Buka Dokumen</v>
      </c>
      <c r="R57" s="15" t="s">
        <v>433</v>
      </c>
    </row>
    <row r="58" spans="1:18" ht="240" customHeight="1">
      <c r="A58" s="6">
        <v>56</v>
      </c>
      <c r="B58" s="9"/>
      <c r="C58" s="3"/>
      <c r="D58" s="3"/>
      <c r="E58" s="3" t="s">
        <v>95</v>
      </c>
      <c r="F58" s="3"/>
      <c r="G58" s="3"/>
      <c r="H58" s="3"/>
      <c r="I58" s="3"/>
      <c r="J58" s="9"/>
      <c r="K58" s="9"/>
      <c r="L58" s="9"/>
      <c r="M58" s="9"/>
      <c r="N58" s="9">
        <v>16</v>
      </c>
      <c r="O58" s="3" t="s">
        <v>434</v>
      </c>
      <c r="P58" s="3" t="s">
        <v>435</v>
      </c>
      <c r="Q58" s="12" t="s">
        <v>198</v>
      </c>
      <c r="R58" s="15"/>
    </row>
    <row r="59" spans="1:18" ht="126.75" customHeight="1">
      <c r="A59" s="6">
        <v>57</v>
      </c>
      <c r="B59" s="9" t="s">
        <v>414</v>
      </c>
      <c r="C59" s="3" t="s">
        <v>93</v>
      </c>
      <c r="D59" s="3" t="s">
        <v>436</v>
      </c>
      <c r="E59" s="3" t="s">
        <v>95</v>
      </c>
      <c r="F59" s="3" t="s">
        <v>437</v>
      </c>
      <c r="G59" s="3" t="s">
        <v>438</v>
      </c>
      <c r="H59" s="3" t="s">
        <v>428</v>
      </c>
      <c r="I59" s="3" t="s">
        <v>439</v>
      </c>
      <c r="J59" s="9" t="s">
        <v>60</v>
      </c>
      <c r="K59" s="9" t="s">
        <v>430</v>
      </c>
      <c r="L59" s="9" t="s">
        <v>431</v>
      </c>
      <c r="M59" s="9" t="s">
        <v>29</v>
      </c>
      <c r="N59" s="9">
        <v>1</v>
      </c>
      <c r="O59" s="3" t="s">
        <v>440</v>
      </c>
      <c r="P59" s="3" t="s">
        <v>332</v>
      </c>
      <c r="Q59" s="12" t="str">
        <f>HYPERLINK("https://drive.google.com/file/d/1OuGfwHLl1PM1WBJhcWCEPKAKcGSUzXyM/view?usp=drive_link","Buka Dokumen")</f>
        <v>Buka Dokumen</v>
      </c>
      <c r="R59" s="15" t="s">
        <v>441</v>
      </c>
    </row>
    <row r="60" spans="1:18" ht="126.75" customHeight="1">
      <c r="A60" s="6">
        <v>58</v>
      </c>
      <c r="B60" s="9" t="s">
        <v>414</v>
      </c>
      <c r="C60" s="3" t="s">
        <v>93</v>
      </c>
      <c r="D60" s="3" t="s">
        <v>442</v>
      </c>
      <c r="E60" s="3" t="s">
        <v>95</v>
      </c>
      <c r="F60" s="3" t="s">
        <v>443</v>
      </c>
      <c r="G60" s="3" t="s">
        <v>444</v>
      </c>
      <c r="H60" s="3" t="s">
        <v>428</v>
      </c>
      <c r="I60" s="3" t="s">
        <v>445</v>
      </c>
      <c r="J60" s="9" t="s">
        <v>60</v>
      </c>
      <c r="K60" s="9" t="s">
        <v>430</v>
      </c>
      <c r="L60" s="9" t="s">
        <v>431</v>
      </c>
      <c r="M60" s="9" t="s">
        <v>29</v>
      </c>
      <c r="N60" s="9">
        <v>1</v>
      </c>
      <c r="O60" s="3" t="s">
        <v>440</v>
      </c>
      <c r="P60" s="3" t="s">
        <v>332</v>
      </c>
      <c r="Q60" s="12" t="str">
        <f>HYPERLINK("https://drive.google.com/file/d/1-ywRsZJmOcRi9q03VfzPy1ntVea4Cyd-/view?usp=drive_link","Buka Dokumen")</f>
        <v>Buka Dokumen</v>
      </c>
      <c r="R60" s="15" t="s">
        <v>446</v>
      </c>
    </row>
    <row r="61" spans="1:18" ht="126.75" customHeight="1">
      <c r="A61" s="6">
        <v>59</v>
      </c>
      <c r="B61" s="9" t="s">
        <v>414</v>
      </c>
      <c r="C61" s="3" t="s">
        <v>93</v>
      </c>
      <c r="D61" s="3" t="s">
        <v>447</v>
      </c>
      <c r="E61" s="3" t="s">
        <v>95</v>
      </c>
      <c r="F61" s="3" t="s">
        <v>448</v>
      </c>
      <c r="G61" s="3" t="s">
        <v>449</v>
      </c>
      <c r="H61" s="3" t="s">
        <v>428</v>
      </c>
      <c r="I61" s="3" t="s">
        <v>450</v>
      </c>
      <c r="J61" s="9" t="s">
        <v>60</v>
      </c>
      <c r="K61" s="9" t="s">
        <v>430</v>
      </c>
      <c r="L61" s="9" t="s">
        <v>431</v>
      </c>
      <c r="M61" s="9" t="s">
        <v>29</v>
      </c>
      <c r="N61" s="9">
        <v>1</v>
      </c>
      <c r="O61" s="3" t="s">
        <v>440</v>
      </c>
      <c r="P61" s="3" t="s">
        <v>332</v>
      </c>
      <c r="Q61" s="12" t="str">
        <f>HYPERLINK("https://drive.google.com/file/d/1eIMRTrhlOdQAUp_UTj5pUAT_mw1tYJO-/view?usp=drive_link","Buka Dokumen")</f>
        <v>Buka Dokumen</v>
      </c>
      <c r="R61" s="15" t="s">
        <v>451</v>
      </c>
    </row>
    <row r="62" spans="1:18" ht="126.75" customHeight="1">
      <c r="A62" s="6">
        <v>60</v>
      </c>
      <c r="B62" s="9" t="s">
        <v>414</v>
      </c>
      <c r="C62" s="3" t="s">
        <v>186</v>
      </c>
      <c r="D62" s="3" t="s">
        <v>452</v>
      </c>
      <c r="E62" s="3" t="s">
        <v>55</v>
      </c>
      <c r="F62" s="3" t="s">
        <v>453</v>
      </c>
      <c r="G62" s="3" t="s">
        <v>454</v>
      </c>
      <c r="H62" s="3" t="s">
        <v>455</v>
      </c>
      <c r="I62" s="3" t="s">
        <v>456</v>
      </c>
      <c r="J62" s="9" t="s">
        <v>60</v>
      </c>
      <c r="K62" s="9" t="s">
        <v>457</v>
      </c>
      <c r="L62" s="9" t="s">
        <v>458</v>
      </c>
      <c r="M62" s="9" t="s">
        <v>29</v>
      </c>
      <c r="N62" s="9">
        <v>1</v>
      </c>
      <c r="O62" s="3" t="s">
        <v>459</v>
      </c>
      <c r="P62" s="3" t="s">
        <v>332</v>
      </c>
      <c r="Q62" s="12" t="str">
        <f>HYPERLINK("https://drive.google.com/file/d/1oBThu56YJ86LEB3XoJjsLHEr6lbFaq8R/view?usp=share_link","Buka Dokumen")</f>
        <v>Buka Dokumen</v>
      </c>
      <c r="R62" s="15" t="s">
        <v>460</v>
      </c>
    </row>
    <row r="63" spans="1:18" ht="126.75" customHeight="1">
      <c r="A63" s="6">
        <v>61</v>
      </c>
      <c r="B63" s="9" t="s">
        <v>414</v>
      </c>
      <c r="C63" s="3" t="s">
        <v>108</v>
      </c>
      <c r="D63" s="3" t="s">
        <v>461</v>
      </c>
      <c r="E63" s="3" t="s">
        <v>55</v>
      </c>
      <c r="F63" s="3" t="s">
        <v>462</v>
      </c>
      <c r="G63" s="3" t="s">
        <v>463</v>
      </c>
      <c r="H63" s="3" t="s">
        <v>464</v>
      </c>
      <c r="I63" s="3" t="s">
        <v>465</v>
      </c>
      <c r="J63" s="9" t="s">
        <v>420</v>
      </c>
      <c r="K63" s="9" t="s">
        <v>430</v>
      </c>
      <c r="L63" s="9" t="s">
        <v>466</v>
      </c>
      <c r="M63" s="9" t="s">
        <v>29</v>
      </c>
      <c r="N63" s="9">
        <v>1</v>
      </c>
      <c r="O63" s="3" t="s">
        <v>467</v>
      </c>
      <c r="P63" s="3" t="s">
        <v>332</v>
      </c>
      <c r="Q63" s="12" t="str">
        <f>HYPERLINK("https://drive.google.com/file/d/1fu6OiQS2dwLRj6NZVQckq4R_ng5LtqTn/view?usp=drive_link","Buka Dokumen")</f>
        <v>Buka Dokumen</v>
      </c>
      <c r="R63" s="15" t="s">
        <v>468</v>
      </c>
    </row>
    <row r="64" spans="1:18" ht="126.75" customHeight="1">
      <c r="A64" s="6">
        <v>62</v>
      </c>
      <c r="B64" s="9" t="s">
        <v>414</v>
      </c>
      <c r="C64" s="3" t="s">
        <v>93</v>
      </c>
      <c r="D64" s="3" t="s">
        <v>469</v>
      </c>
      <c r="E64" s="3" t="s">
        <v>95</v>
      </c>
      <c r="F64" s="3" t="s">
        <v>462</v>
      </c>
      <c r="G64" s="3" t="s">
        <v>470</v>
      </c>
      <c r="H64" s="3" t="s">
        <v>471</v>
      </c>
      <c r="I64" s="3" t="s">
        <v>472</v>
      </c>
      <c r="J64" s="9" t="s">
        <v>60</v>
      </c>
      <c r="K64" s="9" t="s">
        <v>473</v>
      </c>
      <c r="L64" s="9" t="s">
        <v>474</v>
      </c>
      <c r="M64" s="9" t="s">
        <v>29</v>
      </c>
      <c r="N64" s="9">
        <v>1</v>
      </c>
      <c r="O64" s="3" t="s">
        <v>475</v>
      </c>
      <c r="P64" s="3" t="s">
        <v>332</v>
      </c>
      <c r="Q64" s="12" t="str">
        <f>HYPERLINK("https://drive.google.com/file/d/1sCoyLS85G3gk7qiOUMBlpBnUkH4ZrEos/view?usp=drive_link","Buka Dokumen")</f>
        <v>Buka Dokumen</v>
      </c>
      <c r="R64" s="15" t="s">
        <v>476</v>
      </c>
    </row>
    <row r="65" spans="1:18" ht="126.75" customHeight="1">
      <c r="A65" s="6">
        <v>63</v>
      </c>
      <c r="B65" s="9" t="s">
        <v>414</v>
      </c>
      <c r="C65" s="3" t="s">
        <v>108</v>
      </c>
      <c r="D65" s="3" t="s">
        <v>477</v>
      </c>
      <c r="E65" s="3" t="s">
        <v>21</v>
      </c>
      <c r="F65" s="3" t="s">
        <v>406</v>
      </c>
      <c r="G65" s="3" t="s">
        <v>478</v>
      </c>
      <c r="H65" s="3" t="s">
        <v>479</v>
      </c>
      <c r="I65" s="3" t="s">
        <v>480</v>
      </c>
      <c r="J65" s="9" t="s">
        <v>26</v>
      </c>
      <c r="K65" s="9" t="s">
        <v>481</v>
      </c>
      <c r="L65" s="9" t="s">
        <v>482</v>
      </c>
      <c r="M65" s="9" t="s">
        <v>29</v>
      </c>
      <c r="N65" s="9">
        <v>1</v>
      </c>
      <c r="O65" s="3" t="s">
        <v>483</v>
      </c>
      <c r="P65" s="3" t="s">
        <v>332</v>
      </c>
      <c r="Q65" s="12" t="str">
        <f>HYPERLINK("https://drive.google.com/file/d/1CRLF67IYm7WphabUlbIgzxdBgmQcjXQg/view?usp=drive_link","Buka Dokumen")</f>
        <v>Buka Dokumen</v>
      </c>
      <c r="R65" s="15" t="s">
        <v>484</v>
      </c>
    </row>
    <row r="66" spans="1:18" ht="126.75" customHeight="1">
      <c r="A66" s="6">
        <v>64</v>
      </c>
      <c r="B66" s="9" t="s">
        <v>414</v>
      </c>
      <c r="C66" s="3" t="s">
        <v>93</v>
      </c>
      <c r="D66" s="3" t="s">
        <v>485</v>
      </c>
      <c r="E66" s="3" t="s">
        <v>95</v>
      </c>
      <c r="F66" s="3" t="s">
        <v>428</v>
      </c>
      <c r="G66" s="3" t="s">
        <v>486</v>
      </c>
      <c r="H66" s="3" t="s">
        <v>487</v>
      </c>
      <c r="I66" s="3" t="s">
        <v>488</v>
      </c>
      <c r="J66" s="9" t="s">
        <v>60</v>
      </c>
      <c r="K66" s="9" t="s">
        <v>430</v>
      </c>
      <c r="L66" s="9" t="s">
        <v>431</v>
      </c>
      <c r="M66" s="9" t="s">
        <v>29</v>
      </c>
      <c r="N66" s="9">
        <v>1</v>
      </c>
      <c r="O66" s="3" t="s">
        <v>440</v>
      </c>
      <c r="P66" s="3" t="s">
        <v>332</v>
      </c>
      <c r="Q66" s="12" t="str">
        <f>HYPERLINK("https://drive.google.com/file/d/15pmUia1zHU6A8sSYxtyzWfAm_9O8XI1b/view?usp=drive_link","Buka Dokumen")</f>
        <v>Buka Dokumen</v>
      </c>
      <c r="R66" s="15" t="s">
        <v>489</v>
      </c>
    </row>
    <row r="67" spans="1:18" ht="126.75" customHeight="1">
      <c r="A67" s="6">
        <v>65</v>
      </c>
      <c r="B67" s="9" t="s">
        <v>414</v>
      </c>
      <c r="C67" s="3" t="s">
        <v>93</v>
      </c>
      <c r="D67" s="3" t="s">
        <v>490</v>
      </c>
      <c r="E67" s="3" t="s">
        <v>95</v>
      </c>
      <c r="F67" s="3" t="s">
        <v>428</v>
      </c>
      <c r="G67" s="3" t="s">
        <v>491</v>
      </c>
      <c r="H67" s="3" t="s">
        <v>492</v>
      </c>
      <c r="I67" s="3" t="s">
        <v>493</v>
      </c>
      <c r="J67" s="9" t="s">
        <v>60</v>
      </c>
      <c r="K67" s="9" t="s">
        <v>430</v>
      </c>
      <c r="L67" s="9" t="s">
        <v>431</v>
      </c>
      <c r="M67" s="9" t="s">
        <v>29</v>
      </c>
      <c r="N67" s="9">
        <v>1</v>
      </c>
      <c r="O67" s="3" t="s">
        <v>440</v>
      </c>
      <c r="P67" s="3" t="s">
        <v>332</v>
      </c>
      <c r="Q67" s="12" t="str">
        <f>HYPERLINK("https://drive.google.com/file/d/1qPKK6GNYkG-PU0hd0HsOwBtwW_9SSLen/view?usp=drive_link","Buka Dokumen")</f>
        <v>Buka Dokumen</v>
      </c>
      <c r="R67" s="15" t="s">
        <v>494</v>
      </c>
    </row>
    <row r="68" spans="1:18" ht="126.75" customHeight="1">
      <c r="A68" s="6">
        <v>66</v>
      </c>
      <c r="B68" s="9" t="s">
        <v>414</v>
      </c>
      <c r="C68" s="3" t="s">
        <v>93</v>
      </c>
      <c r="D68" s="3" t="s">
        <v>495</v>
      </c>
      <c r="E68" s="3" t="s">
        <v>55</v>
      </c>
      <c r="F68" s="3" t="s">
        <v>496</v>
      </c>
      <c r="G68" s="3" t="s">
        <v>497</v>
      </c>
      <c r="H68" s="3" t="s">
        <v>498</v>
      </c>
      <c r="I68" s="3" t="s">
        <v>499</v>
      </c>
      <c r="J68" s="9" t="s">
        <v>60</v>
      </c>
      <c r="K68" s="9" t="s">
        <v>430</v>
      </c>
      <c r="L68" s="9" t="s">
        <v>431</v>
      </c>
      <c r="M68" s="9" t="s">
        <v>29</v>
      </c>
      <c r="N68" s="9">
        <v>1</v>
      </c>
      <c r="O68" s="3" t="s">
        <v>500</v>
      </c>
      <c r="P68" s="3" t="s">
        <v>332</v>
      </c>
      <c r="Q68" s="12" t="str">
        <f>HYPERLINK("https://drive.google.com/file/d/15FI3Zrn15_Q4p3NKTOM_Dvchj9nrLc-m/view?usp=drive_link","Buka Dokumen")</f>
        <v>Buka Dokumen</v>
      </c>
      <c r="R68" s="15" t="s">
        <v>501</v>
      </c>
    </row>
    <row r="69" spans="1:18" ht="126.75" customHeight="1">
      <c r="A69" s="6">
        <v>67</v>
      </c>
      <c r="B69" s="9" t="s">
        <v>414</v>
      </c>
      <c r="C69" s="3" t="s">
        <v>93</v>
      </c>
      <c r="D69" s="3" t="s">
        <v>502</v>
      </c>
      <c r="E69" s="3" t="s">
        <v>55</v>
      </c>
      <c r="F69" s="3" t="s">
        <v>496</v>
      </c>
      <c r="G69" s="3" t="s">
        <v>503</v>
      </c>
      <c r="H69" s="3" t="s">
        <v>504</v>
      </c>
      <c r="I69" s="3" t="s">
        <v>505</v>
      </c>
      <c r="J69" s="9" t="s">
        <v>60</v>
      </c>
      <c r="K69" s="9" t="s">
        <v>430</v>
      </c>
      <c r="L69" s="9" t="s">
        <v>431</v>
      </c>
      <c r="M69" s="9" t="s">
        <v>29</v>
      </c>
      <c r="N69" s="9">
        <v>1</v>
      </c>
      <c r="O69" s="3" t="s">
        <v>500</v>
      </c>
      <c r="P69" s="3" t="s">
        <v>332</v>
      </c>
      <c r="Q69" s="12" t="str">
        <f>HYPERLINK("https://drive.google.com/file/d/1SkiM5kjc7kXO49YJIa205AVsH8TW9QAN/view?usp=drive_link","Buka Dokumen")</f>
        <v>Buka Dokumen</v>
      </c>
      <c r="R69" s="15" t="s">
        <v>506</v>
      </c>
    </row>
    <row r="70" spans="1:18" ht="126.75" customHeight="1">
      <c r="A70" s="6">
        <v>68</v>
      </c>
      <c r="B70" s="9" t="s">
        <v>414</v>
      </c>
      <c r="C70" s="3" t="s">
        <v>93</v>
      </c>
      <c r="D70" s="3" t="s">
        <v>507</v>
      </c>
      <c r="E70" s="3" t="s">
        <v>55</v>
      </c>
      <c r="F70" s="3" t="s">
        <v>496</v>
      </c>
      <c r="G70" s="3" t="s">
        <v>508</v>
      </c>
      <c r="H70" s="3" t="s">
        <v>509</v>
      </c>
      <c r="I70" s="3" t="s">
        <v>510</v>
      </c>
      <c r="J70" s="9" t="s">
        <v>60</v>
      </c>
      <c r="K70" s="9" t="s">
        <v>430</v>
      </c>
      <c r="L70" s="9" t="s">
        <v>431</v>
      </c>
      <c r="M70" s="9" t="s">
        <v>29</v>
      </c>
      <c r="N70" s="9">
        <v>1</v>
      </c>
      <c r="O70" s="3" t="s">
        <v>500</v>
      </c>
      <c r="P70" s="3" t="s">
        <v>332</v>
      </c>
      <c r="Q70" s="12" t="str">
        <f>HYPERLINK("https://drive.google.com/file/d/1UjQB6Yevf7N_CatXLHe1k4OERtzL-11K/view?usp=drive_link","Buka Dokumen")</f>
        <v>Buka Dokumen</v>
      </c>
      <c r="R70" s="15" t="s">
        <v>511</v>
      </c>
    </row>
    <row r="71" spans="1:18" ht="126.75" customHeight="1">
      <c r="A71" s="6">
        <v>69</v>
      </c>
      <c r="B71" s="9" t="s">
        <v>414</v>
      </c>
      <c r="C71" s="3" t="s">
        <v>93</v>
      </c>
      <c r="D71" s="3" t="s">
        <v>512</v>
      </c>
      <c r="E71" s="3" t="s">
        <v>55</v>
      </c>
      <c r="F71" s="3" t="s">
        <v>496</v>
      </c>
      <c r="G71" s="3" t="s">
        <v>513</v>
      </c>
      <c r="H71" s="3" t="s">
        <v>514</v>
      </c>
      <c r="I71" s="3" t="s">
        <v>515</v>
      </c>
      <c r="J71" s="9" t="s">
        <v>60</v>
      </c>
      <c r="K71" s="9" t="s">
        <v>430</v>
      </c>
      <c r="L71" s="9" t="s">
        <v>431</v>
      </c>
      <c r="M71" s="9" t="s">
        <v>29</v>
      </c>
      <c r="N71" s="9">
        <v>1</v>
      </c>
      <c r="O71" s="3" t="s">
        <v>500</v>
      </c>
      <c r="P71" s="3" t="s">
        <v>332</v>
      </c>
      <c r="Q71" s="12" t="str">
        <f>HYPERLINK("https://drive.google.com/file/d/1sL0vZSifJ_wlM0NkNOi-m0_KlkgcLcQG/view?usp=drive_link","Buka Dokumen")</f>
        <v>Buka Dokumen</v>
      </c>
      <c r="R71" s="15" t="s">
        <v>516</v>
      </c>
    </row>
    <row r="72" spans="1:18" ht="126.75" customHeight="1">
      <c r="A72" s="6">
        <v>70</v>
      </c>
      <c r="B72" s="9" t="s">
        <v>414</v>
      </c>
      <c r="C72" s="3" t="s">
        <v>93</v>
      </c>
      <c r="D72" s="3" t="s">
        <v>517</v>
      </c>
      <c r="E72" s="3" t="s">
        <v>55</v>
      </c>
      <c r="F72" s="3" t="s">
        <v>496</v>
      </c>
      <c r="G72" s="3" t="s">
        <v>518</v>
      </c>
      <c r="H72" s="3" t="s">
        <v>519</v>
      </c>
      <c r="I72" s="3" t="s">
        <v>520</v>
      </c>
      <c r="J72" s="9" t="s">
        <v>60</v>
      </c>
      <c r="K72" s="9" t="s">
        <v>430</v>
      </c>
      <c r="L72" s="9" t="s">
        <v>431</v>
      </c>
      <c r="M72" s="9" t="s">
        <v>29</v>
      </c>
      <c r="N72" s="9">
        <v>1</v>
      </c>
      <c r="O72" s="3" t="s">
        <v>500</v>
      </c>
      <c r="P72" s="3" t="s">
        <v>332</v>
      </c>
      <c r="Q72" s="12" t="str">
        <f>HYPERLINK("https://drive.google.com/file/d/1c7u4zStAKyTrhBId9cCKSR3vaKk0xI7S/view?usp=drive_link","Buka Dokumen")</f>
        <v>Buka Dokumen</v>
      </c>
      <c r="R72" s="15" t="s">
        <v>521</v>
      </c>
    </row>
    <row r="73" spans="1:18" ht="126.75" customHeight="1">
      <c r="A73" s="6">
        <v>71</v>
      </c>
      <c r="B73" s="9" t="s">
        <v>414</v>
      </c>
      <c r="C73" s="3" t="s">
        <v>93</v>
      </c>
      <c r="D73" s="3" t="s">
        <v>522</v>
      </c>
      <c r="E73" s="3" t="s">
        <v>55</v>
      </c>
      <c r="F73" s="3" t="s">
        <v>496</v>
      </c>
      <c r="G73" s="3" t="s">
        <v>523</v>
      </c>
      <c r="H73" s="3" t="s">
        <v>524</v>
      </c>
      <c r="I73" s="3" t="s">
        <v>525</v>
      </c>
      <c r="J73" s="9" t="s">
        <v>60</v>
      </c>
      <c r="K73" s="9" t="s">
        <v>430</v>
      </c>
      <c r="L73" s="9" t="s">
        <v>431</v>
      </c>
      <c r="M73" s="9" t="s">
        <v>29</v>
      </c>
      <c r="N73" s="9">
        <v>1</v>
      </c>
      <c r="O73" s="3" t="s">
        <v>500</v>
      </c>
      <c r="P73" s="3" t="s">
        <v>332</v>
      </c>
      <c r="Q73" s="12" t="str">
        <f>HYPERLINK("https://drive.google.com/file/d/1Xuw4joblkywptVbpDpzQTA2Jc8MEr82k/view?usp=drive_link","Buka Dokumen")</f>
        <v>Buka Dokumen</v>
      </c>
      <c r="R73" s="15" t="s">
        <v>526</v>
      </c>
    </row>
    <row r="74" spans="1:18" ht="126.75" customHeight="1">
      <c r="A74" s="6">
        <v>72</v>
      </c>
      <c r="B74" s="9" t="s">
        <v>414</v>
      </c>
      <c r="C74" s="3" t="s">
        <v>93</v>
      </c>
      <c r="D74" s="3" t="s">
        <v>527</v>
      </c>
      <c r="E74" s="3" t="s">
        <v>55</v>
      </c>
      <c r="F74" s="3" t="s">
        <v>496</v>
      </c>
      <c r="G74" s="3" t="s">
        <v>528</v>
      </c>
      <c r="H74" s="3" t="s">
        <v>529</v>
      </c>
      <c r="I74" s="3" t="s">
        <v>530</v>
      </c>
      <c r="J74" s="9" t="s">
        <v>60</v>
      </c>
      <c r="K74" s="9" t="s">
        <v>430</v>
      </c>
      <c r="L74" s="9" t="s">
        <v>431</v>
      </c>
      <c r="M74" s="9" t="s">
        <v>29</v>
      </c>
      <c r="N74" s="9">
        <v>1</v>
      </c>
      <c r="O74" s="3" t="s">
        <v>500</v>
      </c>
      <c r="P74" s="3" t="s">
        <v>332</v>
      </c>
      <c r="Q74" s="12" t="str">
        <f>HYPERLINK("https://drive.google.com/file/d/163yn6G8UwWwIUGXOAoHiCADik06AtiL7/view?usp=drive_link","Buka Dokumen")</f>
        <v>Buka Dokumen</v>
      </c>
      <c r="R74" s="15" t="s">
        <v>531</v>
      </c>
    </row>
    <row r="75" spans="1:18" ht="126.75" customHeight="1">
      <c r="A75" s="6">
        <v>73</v>
      </c>
      <c r="B75" s="9" t="s">
        <v>414</v>
      </c>
      <c r="C75" s="3" t="s">
        <v>93</v>
      </c>
      <c r="D75" s="3" t="s">
        <v>532</v>
      </c>
      <c r="E75" s="3" t="s">
        <v>55</v>
      </c>
      <c r="F75" s="3" t="s">
        <v>533</v>
      </c>
      <c r="G75" s="3" t="s">
        <v>534</v>
      </c>
      <c r="H75" s="3" t="s">
        <v>535</v>
      </c>
      <c r="I75" s="3" t="s">
        <v>536</v>
      </c>
      <c r="J75" s="9" t="s">
        <v>26</v>
      </c>
      <c r="K75" s="9" t="s">
        <v>537</v>
      </c>
      <c r="L75" s="9" t="s">
        <v>538</v>
      </c>
      <c r="M75" s="9" t="s">
        <v>29</v>
      </c>
      <c r="N75" s="9">
        <v>1</v>
      </c>
      <c r="O75" s="3" t="s">
        <v>539</v>
      </c>
      <c r="P75" s="3" t="s">
        <v>332</v>
      </c>
      <c r="Q75" s="12" t="str">
        <f>HYPERLINK("https://drive.google.com/file/d/1r_3iV9VxoTulPyme-nNnOQojeZ1wpRol/view?usp=drive_link","Buka Dokumen")</f>
        <v>Buka Dokumen</v>
      </c>
      <c r="R75" s="15" t="s">
        <v>540</v>
      </c>
    </row>
    <row r="76" spans="1:18" ht="126.75" customHeight="1">
      <c r="A76" s="6">
        <v>74</v>
      </c>
      <c r="B76" s="9" t="s">
        <v>414</v>
      </c>
      <c r="C76" s="3" t="s">
        <v>108</v>
      </c>
      <c r="D76" s="3" t="s">
        <v>541</v>
      </c>
      <c r="E76" s="3" t="s">
        <v>55</v>
      </c>
      <c r="F76" s="3" t="s">
        <v>542</v>
      </c>
      <c r="G76" s="3" t="s">
        <v>543</v>
      </c>
      <c r="H76" s="3" t="s">
        <v>544</v>
      </c>
      <c r="I76" s="3" t="s">
        <v>545</v>
      </c>
      <c r="J76" s="9" t="s">
        <v>420</v>
      </c>
      <c r="K76" s="9" t="s">
        <v>546</v>
      </c>
      <c r="L76" s="9" t="s">
        <v>547</v>
      </c>
      <c r="M76" s="9" t="s">
        <v>29</v>
      </c>
      <c r="N76" s="9">
        <v>1</v>
      </c>
      <c r="O76" s="3" t="s">
        <v>548</v>
      </c>
      <c r="P76" s="3" t="s">
        <v>332</v>
      </c>
      <c r="Q76" s="12" t="str">
        <f>HYPERLINK("https://drive.google.com/file/d/1XLw5A4RY75s2PMtbVlSjQnBwn2LIGuNN/view?usp=drive_link","Buka Dokumen")</f>
        <v>Buka Dokumen</v>
      </c>
      <c r="R76" s="15" t="s">
        <v>549</v>
      </c>
    </row>
    <row r="77" spans="1:18" ht="126.75" customHeight="1">
      <c r="A77" s="6">
        <v>75</v>
      </c>
      <c r="B77" s="9" t="s">
        <v>414</v>
      </c>
      <c r="C77" s="3" t="s">
        <v>33</v>
      </c>
      <c r="D77" s="3" t="s">
        <v>550</v>
      </c>
      <c r="E77" s="3" t="s">
        <v>35</v>
      </c>
      <c r="F77" s="3" t="s">
        <v>22</v>
      </c>
      <c r="G77" s="3" t="s">
        <v>551</v>
      </c>
      <c r="H77" s="3" t="s">
        <v>552</v>
      </c>
      <c r="I77" s="3" t="s">
        <v>553</v>
      </c>
      <c r="J77" s="9" t="s">
        <v>26</v>
      </c>
      <c r="K77" s="9" t="s">
        <v>554</v>
      </c>
      <c r="L77" s="9" t="s">
        <v>555</v>
      </c>
      <c r="M77" s="9" t="s">
        <v>29</v>
      </c>
      <c r="N77" s="9">
        <v>1</v>
      </c>
      <c r="O77" s="3" t="s">
        <v>556</v>
      </c>
      <c r="P77" s="3" t="s">
        <v>332</v>
      </c>
      <c r="Q77" s="12" t="str">
        <f>HYPERLINK("https://drive.google.com/file/d/1zTDqHphJ82GGfjmrUba4Hp_HBbkgHzT_/view?usp=share_link","Buka Dokumen")</f>
        <v>Buka Dokumen</v>
      </c>
      <c r="R77" s="15" t="s">
        <v>557</v>
      </c>
    </row>
    <row r="78" spans="1:18" ht="126.75" customHeight="1">
      <c r="A78" s="6">
        <v>76</v>
      </c>
      <c r="B78" s="9" t="s">
        <v>414</v>
      </c>
      <c r="C78" s="3" t="s">
        <v>33</v>
      </c>
      <c r="D78" s="3" t="s">
        <v>558</v>
      </c>
      <c r="E78" s="3" t="s">
        <v>35</v>
      </c>
      <c r="F78" s="3" t="s">
        <v>22</v>
      </c>
      <c r="G78" s="3" t="s">
        <v>559</v>
      </c>
      <c r="H78" s="3" t="s">
        <v>560</v>
      </c>
      <c r="I78" s="3" t="s">
        <v>561</v>
      </c>
      <c r="J78" s="9" t="s">
        <v>26</v>
      </c>
      <c r="K78" s="9" t="s">
        <v>562</v>
      </c>
      <c r="L78" s="9" t="s">
        <v>563</v>
      </c>
      <c r="M78" s="9" t="s">
        <v>29</v>
      </c>
      <c r="N78" s="9">
        <v>1</v>
      </c>
      <c r="O78" s="3" t="s">
        <v>564</v>
      </c>
      <c r="P78" s="3" t="s">
        <v>332</v>
      </c>
      <c r="Q78" s="12" t="str">
        <f>HYPERLINK("https://drive.google.com/file/d/1syW5m5TklTkbi6-7fM2siqpewS_TjB6D/view?usp=share_link","Buka Dokumen")</f>
        <v>Buka Dokumen</v>
      </c>
      <c r="R78" s="15" t="s">
        <v>565</v>
      </c>
    </row>
    <row r="79" spans="1:18" ht="126.75" customHeight="1">
      <c r="A79" s="6">
        <v>77</v>
      </c>
      <c r="B79" s="9" t="s">
        <v>414</v>
      </c>
      <c r="C79" s="3" t="s">
        <v>186</v>
      </c>
      <c r="D79" s="3" t="s">
        <v>566</v>
      </c>
      <c r="E79" s="3" t="s">
        <v>21</v>
      </c>
      <c r="F79" s="3" t="s">
        <v>22</v>
      </c>
      <c r="G79" s="3" t="s">
        <v>567</v>
      </c>
      <c r="H79" s="3" t="s">
        <v>568</v>
      </c>
      <c r="I79" s="3" t="s">
        <v>569</v>
      </c>
      <c r="J79" s="9" t="s">
        <v>26</v>
      </c>
      <c r="K79" s="9" t="s">
        <v>570</v>
      </c>
      <c r="L79" s="9" t="s">
        <v>571</v>
      </c>
      <c r="M79" s="9" t="s">
        <v>29</v>
      </c>
      <c r="N79" s="9">
        <v>1</v>
      </c>
      <c r="O79" s="3" t="s">
        <v>572</v>
      </c>
      <c r="P79" s="3" t="s">
        <v>332</v>
      </c>
      <c r="Q79" s="12" t="str">
        <f>HYPERLINK("https://drive.google.com/file/d/12qsTzZK2todQb6vHcx55U-XlMauSW0Zx/view?usp=share_link","Buka Dokumen")</f>
        <v>Buka Dokumen</v>
      </c>
      <c r="R79" s="15" t="s">
        <v>573</v>
      </c>
    </row>
    <row r="80" spans="1:18" ht="126.75" customHeight="1">
      <c r="A80" s="6">
        <v>78</v>
      </c>
      <c r="B80" s="9" t="s">
        <v>414</v>
      </c>
      <c r="C80" s="3" t="s">
        <v>108</v>
      </c>
      <c r="D80" s="3" t="s">
        <v>574</v>
      </c>
      <c r="E80" s="3" t="s">
        <v>21</v>
      </c>
      <c r="F80" s="3" t="s">
        <v>22</v>
      </c>
      <c r="G80" s="3" t="s">
        <v>575</v>
      </c>
      <c r="H80" s="3" t="s">
        <v>576</v>
      </c>
      <c r="I80" s="3" t="s">
        <v>577</v>
      </c>
      <c r="J80" s="9" t="s">
        <v>26</v>
      </c>
      <c r="K80" s="9" t="s">
        <v>578</v>
      </c>
      <c r="L80" s="9" t="s">
        <v>579</v>
      </c>
      <c r="M80" s="9" t="s">
        <v>29</v>
      </c>
      <c r="N80" s="9">
        <v>1</v>
      </c>
      <c r="O80" s="3" t="s">
        <v>580</v>
      </c>
      <c r="P80" s="3" t="s">
        <v>332</v>
      </c>
      <c r="Q80" s="12" t="str">
        <f>HYPERLINK("https://drive.google.com/file/d/1dpyB4_FFmF23RARKrz4sY58LLNNJpwnH/view?usp=share_linkDokumen","Buka Dokumen")</f>
        <v>Buka Dokumen</v>
      </c>
      <c r="R80" s="15" t="s">
        <v>581</v>
      </c>
    </row>
    <row r="81" spans="1:18" ht="126.75" customHeight="1">
      <c r="A81" s="6">
        <v>79</v>
      </c>
      <c r="B81" s="9" t="s">
        <v>414</v>
      </c>
      <c r="C81" s="3" t="s">
        <v>33</v>
      </c>
      <c r="D81" s="3" t="s">
        <v>582</v>
      </c>
      <c r="E81" s="3" t="s">
        <v>21</v>
      </c>
      <c r="F81" s="3" t="s">
        <v>22</v>
      </c>
      <c r="G81" s="3" t="s">
        <v>583</v>
      </c>
      <c r="H81" s="3" t="s">
        <v>584</v>
      </c>
      <c r="I81" s="3" t="s">
        <v>585</v>
      </c>
      <c r="J81" s="9" t="s">
        <v>60</v>
      </c>
      <c r="K81" s="9" t="s">
        <v>457</v>
      </c>
      <c r="L81" s="9" t="s">
        <v>458</v>
      </c>
      <c r="M81" s="9" t="s">
        <v>29</v>
      </c>
      <c r="N81" s="9">
        <v>1</v>
      </c>
      <c r="O81" s="3" t="s">
        <v>586</v>
      </c>
      <c r="P81" s="3" t="s">
        <v>332</v>
      </c>
      <c r="Q81" s="12" t="str">
        <f>HYPERLINK("https://drive.google.com/file/d/1A-FGOQAqzx4P6Hd-QC4-9uUm7INd6Qx3/view?usp=share_link","Buka Dokumen")</f>
        <v>Buka Dokumen</v>
      </c>
      <c r="R81" s="15" t="s">
        <v>587</v>
      </c>
    </row>
    <row r="82" spans="1:18" ht="126.75" customHeight="1">
      <c r="A82" s="6">
        <v>80</v>
      </c>
      <c r="B82" s="9" t="s">
        <v>414</v>
      </c>
      <c r="C82" s="3" t="s">
        <v>33</v>
      </c>
      <c r="D82" s="3" t="s">
        <v>588</v>
      </c>
      <c r="E82" s="3" t="s">
        <v>35</v>
      </c>
      <c r="F82" s="3" t="s">
        <v>22</v>
      </c>
      <c r="G82" s="3" t="s">
        <v>589</v>
      </c>
      <c r="H82" s="3" t="s">
        <v>590</v>
      </c>
      <c r="I82" s="3" t="s">
        <v>591</v>
      </c>
      <c r="J82" s="9" t="s">
        <v>26</v>
      </c>
      <c r="K82" s="9" t="s">
        <v>592</v>
      </c>
      <c r="L82" s="9" t="s">
        <v>593</v>
      </c>
      <c r="M82" s="9" t="s">
        <v>29</v>
      </c>
      <c r="N82" s="9">
        <v>1</v>
      </c>
      <c r="O82" s="3" t="s">
        <v>594</v>
      </c>
      <c r="P82" s="3" t="s">
        <v>332</v>
      </c>
      <c r="Q82" s="12" t="str">
        <f>HYPERLINK("https://drive.google.com/file/d/163Jb5FQS9xvRtlhjFsrwkEY2-hPonfoC/view?usp=drive_link","Buka Dokumen")</f>
        <v>Buka Dokumen</v>
      </c>
      <c r="R82" s="15" t="s">
        <v>595</v>
      </c>
    </row>
    <row r="83" spans="1:18" ht="126.75" customHeight="1">
      <c r="A83" s="6">
        <v>81</v>
      </c>
      <c r="B83" s="9" t="s">
        <v>414</v>
      </c>
      <c r="C83" s="3" t="s">
        <v>33</v>
      </c>
      <c r="D83" s="3" t="s">
        <v>596</v>
      </c>
      <c r="E83" s="3" t="s">
        <v>55</v>
      </c>
      <c r="F83" s="3" t="s">
        <v>597</v>
      </c>
      <c r="G83" s="3" t="s">
        <v>598</v>
      </c>
      <c r="H83" s="3" t="s">
        <v>599</v>
      </c>
      <c r="I83" s="3" t="s">
        <v>600</v>
      </c>
      <c r="J83" s="9" t="s">
        <v>60</v>
      </c>
      <c r="K83" s="9" t="s">
        <v>601</v>
      </c>
      <c r="L83" s="9" t="s">
        <v>602</v>
      </c>
      <c r="M83" s="9" t="s">
        <v>29</v>
      </c>
      <c r="N83" s="9">
        <v>1</v>
      </c>
      <c r="O83" s="3" t="s">
        <v>603</v>
      </c>
      <c r="P83" s="3" t="s">
        <v>332</v>
      </c>
      <c r="Q83" s="12" t="str">
        <f>HYPERLINK("https://drive.google.com/file/d/1ChJPMaPykM7UWxyZXo226LTAZnJgSO9E/view?usp=drive_link","Buka Dokumen")</f>
        <v>Buka Dokumen</v>
      </c>
      <c r="R83" s="15" t="s">
        <v>604</v>
      </c>
    </row>
    <row r="84" spans="1:18" ht="126.75" customHeight="1">
      <c r="A84" s="6">
        <v>82</v>
      </c>
      <c r="B84" s="9" t="s">
        <v>414</v>
      </c>
      <c r="C84" s="3" t="s">
        <v>93</v>
      </c>
      <c r="D84" s="3" t="s">
        <v>605</v>
      </c>
      <c r="E84" s="3" t="s">
        <v>55</v>
      </c>
      <c r="F84" s="3" t="s">
        <v>148</v>
      </c>
      <c r="G84" s="3" t="s">
        <v>606</v>
      </c>
      <c r="H84" s="3" t="s">
        <v>471</v>
      </c>
      <c r="I84" s="3" t="s">
        <v>607</v>
      </c>
      <c r="J84" s="9" t="s">
        <v>60</v>
      </c>
      <c r="K84" s="9" t="s">
        <v>608</v>
      </c>
      <c r="L84" s="9" t="s">
        <v>609</v>
      </c>
      <c r="M84" s="9" t="s">
        <v>29</v>
      </c>
      <c r="N84" s="9">
        <v>1</v>
      </c>
      <c r="O84" s="3" t="s">
        <v>610</v>
      </c>
      <c r="P84" s="3" t="s">
        <v>332</v>
      </c>
      <c r="Q84" s="12" t="str">
        <f>HYPERLINK("https://drive.google.com/file/d/1zWQX7FeDHre4PJGW3kPALIW9kZvoo0PX/view?usp=drive_link","Buka Dokumen")</f>
        <v>Buka Dokumen</v>
      </c>
      <c r="R84" s="15" t="s">
        <v>611</v>
      </c>
    </row>
    <row r="85" spans="1:18" ht="126.75" customHeight="1">
      <c r="A85" s="6">
        <v>83</v>
      </c>
      <c r="B85" s="9" t="s">
        <v>414</v>
      </c>
      <c r="C85" s="3" t="s">
        <v>108</v>
      </c>
      <c r="D85" s="3" t="s">
        <v>612</v>
      </c>
      <c r="E85" s="3" t="s">
        <v>55</v>
      </c>
      <c r="F85" s="3" t="s">
        <v>613</v>
      </c>
      <c r="G85" s="3" t="s">
        <v>614</v>
      </c>
      <c r="H85" s="3" t="s">
        <v>615</v>
      </c>
      <c r="I85" s="3" t="s">
        <v>616</v>
      </c>
      <c r="J85" s="9" t="s">
        <v>420</v>
      </c>
      <c r="K85" s="9" t="s">
        <v>617</v>
      </c>
      <c r="L85" s="9" t="s">
        <v>618</v>
      </c>
      <c r="M85" s="9" t="s">
        <v>29</v>
      </c>
      <c r="N85" s="9">
        <v>1</v>
      </c>
      <c r="O85" s="3" t="s">
        <v>619</v>
      </c>
      <c r="P85" s="3" t="s">
        <v>332</v>
      </c>
      <c r="Q85" s="12" t="str">
        <f>HYPERLINK("https://drive.google.com/file/d/1IlUo539cwr2Dha4Mpao4yqwZ15QZfQG9/view?usp=drive_link","Buka Dokumen")</f>
        <v>Buka Dokumen</v>
      </c>
      <c r="R85" s="15" t="s">
        <v>620</v>
      </c>
    </row>
    <row r="86" spans="1:18" ht="126.75" customHeight="1">
      <c r="A86" s="6">
        <v>84</v>
      </c>
      <c r="B86" s="9" t="s">
        <v>414</v>
      </c>
      <c r="C86" s="3" t="s">
        <v>93</v>
      </c>
      <c r="D86" s="3" t="s">
        <v>621</v>
      </c>
      <c r="E86" s="3" t="s">
        <v>95</v>
      </c>
      <c r="F86" s="3" t="s">
        <v>622</v>
      </c>
      <c r="G86" s="3" t="s">
        <v>623</v>
      </c>
      <c r="H86" s="3" t="s">
        <v>428</v>
      </c>
      <c r="I86" s="3" t="s">
        <v>624</v>
      </c>
      <c r="J86" s="9" t="s">
        <v>60</v>
      </c>
      <c r="K86" s="9" t="s">
        <v>430</v>
      </c>
      <c r="L86" s="9" t="s">
        <v>431</v>
      </c>
      <c r="M86" s="9" t="s">
        <v>29</v>
      </c>
      <c r="N86" s="9">
        <v>1</v>
      </c>
      <c r="O86" s="3" t="s">
        <v>440</v>
      </c>
      <c r="P86" s="3" t="s">
        <v>332</v>
      </c>
      <c r="Q86" s="12" t="str">
        <f>HYPERLINK("https://drive.google.com/file/d/1bVMKmRfqEjWmNKImss6eLTv8Un7mIYqB/view?usp=drive_link","Buka Dokumen")</f>
        <v>Buka Dokumen</v>
      </c>
      <c r="R86" s="15" t="s">
        <v>625</v>
      </c>
    </row>
    <row r="87" spans="1:18" ht="126.75" customHeight="1">
      <c r="A87" s="6">
        <v>85</v>
      </c>
      <c r="B87" s="9" t="s">
        <v>626</v>
      </c>
      <c r="C87" s="3" t="s">
        <v>93</v>
      </c>
      <c r="D87" s="3" t="s">
        <v>627</v>
      </c>
      <c r="E87" s="3" t="s">
        <v>95</v>
      </c>
      <c r="F87" s="3" t="s">
        <v>628</v>
      </c>
      <c r="G87" s="3" t="s">
        <v>629</v>
      </c>
      <c r="H87" s="3" t="s">
        <v>630</v>
      </c>
      <c r="I87" s="3" t="s">
        <v>631</v>
      </c>
      <c r="J87" s="9" t="s">
        <v>60</v>
      </c>
      <c r="K87" s="9" t="s">
        <v>632</v>
      </c>
      <c r="L87" s="9" t="s">
        <v>633</v>
      </c>
      <c r="M87" s="9" t="s">
        <v>29</v>
      </c>
      <c r="N87" s="9">
        <v>1</v>
      </c>
      <c r="O87" s="3" t="s">
        <v>539</v>
      </c>
      <c r="P87" s="3" t="s">
        <v>332</v>
      </c>
      <c r="Q87" s="12" t="str">
        <f>HYPERLINK("https://drive.google.com/file/d/1qqAgquiuFjpcjewmXY-NcWwUCWMTtevF/view?usp=drive_link","Buka Dokumen")</f>
        <v>Buka Dokumen</v>
      </c>
      <c r="R87" s="15" t="s">
        <v>634</v>
      </c>
    </row>
    <row r="88" spans="1:18" ht="126.75" customHeight="1">
      <c r="A88" s="6">
        <v>86</v>
      </c>
      <c r="B88" s="9" t="s">
        <v>626</v>
      </c>
      <c r="C88" s="3" t="s">
        <v>19</v>
      </c>
      <c r="D88" s="3" t="s">
        <v>635</v>
      </c>
      <c r="E88" s="3" t="s">
        <v>55</v>
      </c>
      <c r="F88" s="3" t="s">
        <v>636</v>
      </c>
      <c r="G88" s="3" t="s">
        <v>637</v>
      </c>
      <c r="H88" s="3" t="s">
        <v>638</v>
      </c>
      <c r="I88" s="3" t="s">
        <v>639</v>
      </c>
      <c r="J88" s="9" t="s">
        <v>60</v>
      </c>
      <c r="K88" s="9" t="s">
        <v>640</v>
      </c>
      <c r="L88" s="9" t="s">
        <v>641</v>
      </c>
      <c r="M88" s="9" t="s">
        <v>29</v>
      </c>
      <c r="N88" s="9">
        <v>1</v>
      </c>
      <c r="O88" s="3" t="s">
        <v>642</v>
      </c>
      <c r="P88" s="3" t="s">
        <v>332</v>
      </c>
      <c r="Q88" s="12" t="str">
        <f>HYPERLINK("https://drive.google.com/file/d/1Sgii8PsBdTNsPxFV7CHfwspLGuzPkTQZ/view?usp=share_link","Buka Dokumen")</f>
        <v>Buka Dokumen</v>
      </c>
      <c r="R88" s="15" t="s">
        <v>643</v>
      </c>
    </row>
    <row r="89" spans="1:18" ht="126.75" customHeight="1">
      <c r="A89" s="6">
        <v>87</v>
      </c>
      <c r="B89" s="9" t="s">
        <v>626</v>
      </c>
      <c r="C89" s="3" t="s">
        <v>33</v>
      </c>
      <c r="D89" s="3" t="s">
        <v>599</v>
      </c>
      <c r="E89" s="3" t="s">
        <v>55</v>
      </c>
      <c r="F89" s="3" t="s">
        <v>148</v>
      </c>
      <c r="G89" s="3" t="s">
        <v>644</v>
      </c>
      <c r="H89" s="3" t="s">
        <v>599</v>
      </c>
      <c r="I89" s="3" t="s">
        <v>645</v>
      </c>
      <c r="J89" s="9" t="s">
        <v>26</v>
      </c>
      <c r="K89" s="9" t="s">
        <v>646</v>
      </c>
      <c r="L89" s="9" t="s">
        <v>647</v>
      </c>
      <c r="M89" s="9" t="s">
        <v>29</v>
      </c>
      <c r="N89" s="9">
        <v>1</v>
      </c>
      <c r="O89" s="3" t="s">
        <v>648</v>
      </c>
      <c r="P89" s="3" t="s">
        <v>332</v>
      </c>
      <c r="Q89" s="12" t="str">
        <f>HYPERLINK("https://drive.google.com/file/d/1CY3Io9Lt8x7HE4GieAOcsb83_xXkzFui/view?usp=share_link","Buka Dokumen")</f>
        <v>Buka Dokumen</v>
      </c>
      <c r="R89" s="15" t="s">
        <v>649</v>
      </c>
    </row>
    <row r="90" spans="1:18" ht="126.75" customHeight="1">
      <c r="A90" s="6">
        <v>88</v>
      </c>
      <c r="B90" s="9" t="s">
        <v>626</v>
      </c>
      <c r="C90" s="3" t="s">
        <v>19</v>
      </c>
      <c r="D90" s="3" t="s">
        <v>650</v>
      </c>
      <c r="E90" s="3" t="s">
        <v>55</v>
      </c>
      <c r="F90" s="3" t="s">
        <v>651</v>
      </c>
      <c r="G90" s="3" t="s">
        <v>652</v>
      </c>
      <c r="H90" s="3" t="s">
        <v>653</v>
      </c>
      <c r="I90" s="3" t="s">
        <v>654</v>
      </c>
      <c r="J90" s="9" t="s">
        <v>26</v>
      </c>
      <c r="K90" s="9" t="s">
        <v>655</v>
      </c>
      <c r="L90" s="9" t="s">
        <v>656</v>
      </c>
      <c r="M90" s="9" t="s">
        <v>29</v>
      </c>
      <c r="N90" s="9">
        <v>1</v>
      </c>
      <c r="O90" s="3" t="s">
        <v>657</v>
      </c>
      <c r="P90" s="3" t="s">
        <v>332</v>
      </c>
      <c r="Q90" s="12" t="str">
        <f>HYPERLINK("https://drive.google.com/file/d/1kyot_I3unGK7wUoCe380QF0y27l3a3nP/view?usp=share_link","Buka Dokumen")</f>
        <v>Buka Dokumen</v>
      </c>
      <c r="R90" s="15" t="s">
        <v>658</v>
      </c>
    </row>
    <row r="91" spans="1:18" ht="126.75" customHeight="1">
      <c r="A91" s="6">
        <v>89</v>
      </c>
      <c r="B91" s="9" t="s">
        <v>626</v>
      </c>
      <c r="C91" s="3" t="s">
        <v>33</v>
      </c>
      <c r="D91" s="3" t="s">
        <v>659</v>
      </c>
      <c r="E91" s="3" t="s">
        <v>35</v>
      </c>
      <c r="F91" s="3" t="s">
        <v>22</v>
      </c>
      <c r="G91" s="3" t="s">
        <v>660</v>
      </c>
      <c r="H91" s="3" t="s">
        <v>661</v>
      </c>
      <c r="I91" s="3" t="s">
        <v>660</v>
      </c>
      <c r="J91" s="9" t="s">
        <v>60</v>
      </c>
      <c r="K91" s="9" t="s">
        <v>662</v>
      </c>
      <c r="L91" s="9" t="s">
        <v>663</v>
      </c>
      <c r="M91" s="9" t="s">
        <v>29</v>
      </c>
      <c r="N91" s="9">
        <v>1</v>
      </c>
      <c r="O91" s="3" t="s">
        <v>664</v>
      </c>
      <c r="P91" s="3" t="s">
        <v>332</v>
      </c>
      <c r="Q91" s="12" t="str">
        <f>HYPERLINK("https://drive.google.com/file/d/151Uu4i3wn_QyJiqr68gG8Asr-EVYf_AZ/view?usp=share_link","Buka Dokumen")</f>
        <v>Buka Dokumen</v>
      </c>
      <c r="R91" s="15" t="s">
        <v>665</v>
      </c>
    </row>
    <row r="92" spans="1:18" ht="126.75" customHeight="1">
      <c r="A92" s="6">
        <v>90</v>
      </c>
      <c r="B92" s="9" t="s">
        <v>626</v>
      </c>
      <c r="C92" s="3" t="s">
        <v>33</v>
      </c>
      <c r="D92" s="3" t="s">
        <v>666</v>
      </c>
      <c r="E92" s="3" t="s">
        <v>21</v>
      </c>
      <c r="F92" s="3" t="s">
        <v>22</v>
      </c>
      <c r="G92" s="3" t="s">
        <v>667</v>
      </c>
      <c r="H92" s="3" t="s">
        <v>668</v>
      </c>
      <c r="I92" s="3" t="s">
        <v>669</v>
      </c>
      <c r="J92" s="9" t="s">
        <v>26</v>
      </c>
      <c r="K92" s="9" t="s">
        <v>670</v>
      </c>
      <c r="L92" s="9" t="s">
        <v>671</v>
      </c>
      <c r="M92" s="9" t="s">
        <v>29</v>
      </c>
      <c r="N92" s="9">
        <v>1</v>
      </c>
      <c r="O92" s="3" t="s">
        <v>672</v>
      </c>
      <c r="P92" s="3" t="s">
        <v>332</v>
      </c>
      <c r="Q92" s="12" t="str">
        <f>HYPERLINK("https://drive.google.com/file/d/1W6J0RI_ThFrPuD7F4hvvyrYOQkz-Q9wF/view?usp=share_link","Buka Dokumen")</f>
        <v>Buka Dokumen</v>
      </c>
      <c r="R92" s="15" t="s">
        <v>673</v>
      </c>
    </row>
    <row r="93" spans="1:18" ht="126.75" customHeight="1">
      <c r="A93" s="6">
        <v>91</v>
      </c>
      <c r="B93" s="9" t="s">
        <v>626</v>
      </c>
      <c r="C93" s="3" t="s">
        <v>33</v>
      </c>
      <c r="D93" s="3" t="s">
        <v>674</v>
      </c>
      <c r="E93" s="3" t="s">
        <v>35</v>
      </c>
      <c r="F93" s="3" t="s">
        <v>22</v>
      </c>
      <c r="G93" s="3" t="s">
        <v>675</v>
      </c>
      <c r="H93" s="3" t="s">
        <v>676</v>
      </c>
      <c r="I93" s="3" t="s">
        <v>677</v>
      </c>
      <c r="J93" s="9" t="s">
        <v>26</v>
      </c>
      <c r="K93" s="9" t="s">
        <v>678</v>
      </c>
      <c r="L93" s="9" t="s">
        <v>679</v>
      </c>
      <c r="M93" s="9" t="s">
        <v>29</v>
      </c>
      <c r="N93" s="9">
        <v>1</v>
      </c>
      <c r="O93" s="3" t="s">
        <v>680</v>
      </c>
      <c r="P93" s="3" t="s">
        <v>332</v>
      </c>
      <c r="Q93" s="12" t="str">
        <f>HYPERLINK("https://drive.google.com/file/d/1835wKciVoFoLdblBo4_vb3hhYqQzPu76/view?usp=drive_link","Buka Dokumen")</f>
        <v>Buka Dokumen</v>
      </c>
      <c r="R93" s="15" t="s">
        <v>681</v>
      </c>
    </row>
    <row r="94" spans="1:18" ht="126.75" customHeight="1">
      <c r="A94" s="6">
        <v>92</v>
      </c>
      <c r="B94" s="9" t="s">
        <v>626</v>
      </c>
      <c r="C94" s="3" t="s">
        <v>108</v>
      </c>
      <c r="D94" s="3" t="s">
        <v>682</v>
      </c>
      <c r="E94" s="3" t="s">
        <v>35</v>
      </c>
      <c r="F94" s="3" t="s">
        <v>22</v>
      </c>
      <c r="G94" s="3" t="s">
        <v>683</v>
      </c>
      <c r="H94" s="3" t="s">
        <v>684</v>
      </c>
      <c r="I94" s="3" t="s">
        <v>685</v>
      </c>
      <c r="J94" s="9" t="s">
        <v>26</v>
      </c>
      <c r="K94" s="9" t="s">
        <v>640</v>
      </c>
      <c r="L94" s="9" t="s">
        <v>686</v>
      </c>
      <c r="M94" s="9" t="s">
        <v>29</v>
      </c>
      <c r="N94" s="9">
        <v>1</v>
      </c>
      <c r="O94" s="3" t="s">
        <v>687</v>
      </c>
      <c r="P94" s="3" t="s">
        <v>332</v>
      </c>
      <c r="Q94" s="12" t="str">
        <f>HYPERLINK("https://drive.google.com/file/d/1CN_28o13ODek0z-0Tx3idt3SKcBfgwvl/view?usp=share_link","Buka Dokumen")</f>
        <v>Buka Dokumen</v>
      </c>
      <c r="R94" s="15" t="s">
        <v>688</v>
      </c>
    </row>
    <row r="95" spans="1:18" ht="126.75" customHeight="1">
      <c r="A95" s="6">
        <v>93</v>
      </c>
      <c r="B95" s="9" t="s">
        <v>626</v>
      </c>
      <c r="C95" s="3" t="s">
        <v>33</v>
      </c>
      <c r="D95" s="3" t="s">
        <v>689</v>
      </c>
      <c r="E95" s="3" t="s">
        <v>35</v>
      </c>
      <c r="F95" s="3" t="s">
        <v>22</v>
      </c>
      <c r="G95" s="3" t="s">
        <v>690</v>
      </c>
      <c r="H95" s="3" t="s">
        <v>691</v>
      </c>
      <c r="I95" s="3" t="s">
        <v>692</v>
      </c>
      <c r="J95" s="9" t="s">
        <v>26</v>
      </c>
      <c r="K95" s="9" t="s">
        <v>693</v>
      </c>
      <c r="L95" s="9" t="s">
        <v>694</v>
      </c>
      <c r="M95" s="9" t="s">
        <v>29</v>
      </c>
      <c r="N95" s="9">
        <v>1</v>
      </c>
      <c r="O95" s="3" t="s">
        <v>619</v>
      </c>
      <c r="P95" s="3" t="s">
        <v>332</v>
      </c>
      <c r="Q95" s="12" t="str">
        <f>HYPERLINK("https://drive.google.com/file/d/1sC_ELlGgjyUswc-xf4DkJ-dZ-aj5Rc2P/view?usp=share_link","Buka Dokumen")</f>
        <v>Buka Dokumen</v>
      </c>
      <c r="R95" s="15" t="s">
        <v>695</v>
      </c>
    </row>
    <row r="96" spans="1:18" ht="126.75" customHeight="1">
      <c r="A96" s="6">
        <v>94</v>
      </c>
      <c r="B96" s="9" t="s">
        <v>626</v>
      </c>
      <c r="C96" s="3" t="s">
        <v>108</v>
      </c>
      <c r="D96" s="3" t="s">
        <v>696</v>
      </c>
      <c r="E96" s="3" t="s">
        <v>21</v>
      </c>
      <c r="F96" s="3" t="s">
        <v>22</v>
      </c>
      <c r="G96" s="3" t="s">
        <v>697</v>
      </c>
      <c r="H96" s="3" t="s">
        <v>698</v>
      </c>
      <c r="I96" s="3" t="s">
        <v>699</v>
      </c>
      <c r="J96" s="9" t="s">
        <v>26</v>
      </c>
      <c r="K96" s="9" t="s">
        <v>700</v>
      </c>
      <c r="L96" s="9" t="s">
        <v>701</v>
      </c>
      <c r="M96" s="9" t="s">
        <v>29</v>
      </c>
      <c r="N96" s="9">
        <v>1</v>
      </c>
      <c r="O96" s="3" t="s">
        <v>702</v>
      </c>
      <c r="P96" s="3" t="s">
        <v>332</v>
      </c>
      <c r="Q96" s="12" t="str">
        <f>HYPERLINK("https://drive.google.com/file/d/1Sqo_OaF2Q5_oPbY5X4IXZ1SZvaSDurlx/view?usp=share_link","Buka Dokumen")</f>
        <v>Buka Dokumen</v>
      </c>
      <c r="R96" s="15" t="s">
        <v>703</v>
      </c>
    </row>
    <row r="97" spans="1:18" ht="126.75" customHeight="1">
      <c r="A97" s="6">
        <v>95</v>
      </c>
      <c r="B97" s="9" t="s">
        <v>626</v>
      </c>
      <c r="C97" s="3" t="s">
        <v>186</v>
      </c>
      <c r="D97" s="3" t="s">
        <v>704</v>
      </c>
      <c r="E97" s="3" t="s">
        <v>21</v>
      </c>
      <c r="F97" s="3" t="s">
        <v>22</v>
      </c>
      <c r="G97" s="3" t="s">
        <v>705</v>
      </c>
      <c r="H97" s="3" t="s">
        <v>706</v>
      </c>
      <c r="I97" s="3" t="s">
        <v>707</v>
      </c>
      <c r="J97" s="9" t="s">
        <v>26</v>
      </c>
      <c r="K97" s="9" t="s">
        <v>708</v>
      </c>
      <c r="L97" s="9" t="s">
        <v>709</v>
      </c>
      <c r="M97" s="9" t="s">
        <v>29</v>
      </c>
      <c r="N97" s="9">
        <v>1</v>
      </c>
      <c r="O97" s="3" t="s">
        <v>572</v>
      </c>
      <c r="P97" s="3" t="s">
        <v>332</v>
      </c>
      <c r="Q97" s="12" t="str">
        <f>HYPERLINK("https://drive.google.com/file/d/1hbx2Eml7zZkyXmYABLa1IqctimJ0ITLC/view?usp=share_link","Buka Dokumen")</f>
        <v>Buka Dokumen</v>
      </c>
      <c r="R97" s="15" t="s">
        <v>710</v>
      </c>
    </row>
    <row r="98" spans="1:18" ht="126.75" customHeight="1">
      <c r="A98" s="6">
        <v>96</v>
      </c>
      <c r="B98" s="9" t="s">
        <v>626</v>
      </c>
      <c r="C98" s="3" t="s">
        <v>186</v>
      </c>
      <c r="D98" s="3" t="s">
        <v>711</v>
      </c>
      <c r="E98" s="3" t="s">
        <v>35</v>
      </c>
      <c r="F98" s="3" t="s">
        <v>56</v>
      </c>
      <c r="G98" s="3" t="s">
        <v>712</v>
      </c>
      <c r="H98" s="3" t="s">
        <v>713</v>
      </c>
      <c r="I98" s="3" t="s">
        <v>714</v>
      </c>
      <c r="J98" s="9" t="s">
        <v>26</v>
      </c>
      <c r="K98" s="9" t="s">
        <v>715</v>
      </c>
      <c r="L98" s="9" t="s">
        <v>716</v>
      </c>
      <c r="M98" s="9" t="s">
        <v>29</v>
      </c>
      <c r="N98" s="9">
        <v>1</v>
      </c>
      <c r="O98" s="3" t="s">
        <v>717</v>
      </c>
      <c r="P98" s="3" t="s">
        <v>332</v>
      </c>
      <c r="Q98" s="12" t="str">
        <f>HYPERLINK("https://drive.google.com/file/d/1n5Q9-oE9vINSvIcFzO5sN72myfD1_HOG/view?usp=share_link","Buka Dokumen")</f>
        <v>Buka Dokumen</v>
      </c>
      <c r="R98" s="15" t="s">
        <v>718</v>
      </c>
    </row>
    <row r="99" spans="1:18" ht="126.75" customHeight="1">
      <c r="A99" s="6">
        <v>97</v>
      </c>
      <c r="B99" s="9" t="s">
        <v>626</v>
      </c>
      <c r="C99" s="3" t="s">
        <v>19</v>
      </c>
      <c r="D99" s="3" t="s">
        <v>719</v>
      </c>
      <c r="E99" s="3" t="s">
        <v>21</v>
      </c>
      <c r="F99" s="3" t="s">
        <v>56</v>
      </c>
      <c r="G99" s="3" t="s">
        <v>720</v>
      </c>
      <c r="H99" s="3" t="s">
        <v>721</v>
      </c>
      <c r="I99" s="3" t="s">
        <v>722</v>
      </c>
      <c r="J99" s="9" t="s">
        <v>26</v>
      </c>
      <c r="K99" s="9" t="s">
        <v>723</v>
      </c>
      <c r="L99" s="9" t="s">
        <v>724</v>
      </c>
      <c r="M99" s="9" t="s">
        <v>29</v>
      </c>
      <c r="N99" s="9">
        <v>1</v>
      </c>
      <c r="O99" s="3" t="s">
        <v>725</v>
      </c>
      <c r="P99" s="3" t="s">
        <v>332</v>
      </c>
      <c r="Q99" s="12" t="str">
        <f>HYPERLINK("https://drive.google.com/file/d/1-1XfebTQ6e55pp-P9QUu998OqVOdL9VC/view?usp=share_link","Buka Dokumen")</f>
        <v>Buka Dokumen</v>
      </c>
      <c r="R99" s="15" t="s">
        <v>726</v>
      </c>
    </row>
    <row r="100" spans="1:18" ht="126.75" customHeight="1">
      <c r="A100" s="6">
        <v>98</v>
      </c>
      <c r="B100" s="9" t="s">
        <v>626</v>
      </c>
      <c r="C100" s="3" t="s">
        <v>186</v>
      </c>
      <c r="D100" s="3" t="s">
        <v>704</v>
      </c>
      <c r="E100" s="3" t="s">
        <v>55</v>
      </c>
      <c r="F100" s="3" t="s">
        <v>56</v>
      </c>
      <c r="G100" s="3" t="s">
        <v>727</v>
      </c>
      <c r="H100" s="3" t="s">
        <v>728</v>
      </c>
      <c r="I100" s="3" t="s">
        <v>729</v>
      </c>
      <c r="J100" s="9" t="s">
        <v>60</v>
      </c>
      <c r="K100" s="9" t="s">
        <v>723</v>
      </c>
      <c r="L100" s="9"/>
      <c r="M100" s="9" t="s">
        <v>29</v>
      </c>
      <c r="N100" s="9">
        <v>1</v>
      </c>
      <c r="O100" s="3" t="s">
        <v>730</v>
      </c>
      <c r="P100" s="3" t="s">
        <v>332</v>
      </c>
      <c r="Q100" s="12" t="str">
        <f>HYPERLINK("https://drive.google.com/file/d/1RKpEINqbiGHGJBZMrYBxiwuGNOnMcl94/view?usp=share_link","Buka Dokumen")</f>
        <v>Buka Dokumen</v>
      </c>
      <c r="R100" s="15" t="s">
        <v>731</v>
      </c>
    </row>
    <row r="101" spans="1:18" ht="126.75" customHeight="1">
      <c r="A101" s="6">
        <v>99</v>
      </c>
      <c r="B101" s="9" t="s">
        <v>626</v>
      </c>
      <c r="C101" s="3" t="s">
        <v>242</v>
      </c>
      <c r="D101" s="3" t="s">
        <v>732</v>
      </c>
      <c r="E101" s="3" t="s">
        <v>244</v>
      </c>
      <c r="F101" s="3" t="s">
        <v>56</v>
      </c>
      <c r="G101" s="3"/>
      <c r="H101" s="3" t="s">
        <v>733</v>
      </c>
      <c r="I101" s="3"/>
      <c r="J101" s="9" t="s">
        <v>60</v>
      </c>
      <c r="K101" s="9" t="s">
        <v>734</v>
      </c>
      <c r="L101" s="9" t="s">
        <v>735</v>
      </c>
      <c r="M101" s="9" t="s">
        <v>29</v>
      </c>
      <c r="N101" s="9">
        <v>1</v>
      </c>
      <c r="O101" s="3" t="s">
        <v>736</v>
      </c>
      <c r="P101" s="3" t="s">
        <v>332</v>
      </c>
      <c r="Q101" s="12" t="str">
        <f>HYPERLINK("https://drive.google.com/file/d/1XOGsM4XdemffQT_Ak_uOC9Xld4jAxLUn/view?usp=share_link","Buka Dokumen")</f>
        <v>Buka Dokumen</v>
      </c>
      <c r="R101" s="15" t="s">
        <v>737</v>
      </c>
    </row>
    <row r="102" spans="1:18" ht="126.75" customHeight="1">
      <c r="A102" s="6">
        <v>100</v>
      </c>
      <c r="B102" s="9" t="s">
        <v>626</v>
      </c>
      <c r="C102" s="3" t="s">
        <v>19</v>
      </c>
      <c r="D102" s="3" t="s">
        <v>738</v>
      </c>
      <c r="E102" s="3" t="s">
        <v>55</v>
      </c>
      <c r="F102" s="3" t="s">
        <v>56</v>
      </c>
      <c r="G102" s="3" t="s">
        <v>739</v>
      </c>
      <c r="H102" s="3" t="s">
        <v>740</v>
      </c>
      <c r="I102" s="3" t="s">
        <v>741</v>
      </c>
      <c r="J102" s="9" t="s">
        <v>60</v>
      </c>
      <c r="K102" s="9" t="s">
        <v>742</v>
      </c>
      <c r="L102" s="9" t="s">
        <v>743</v>
      </c>
      <c r="M102" s="9" t="s">
        <v>29</v>
      </c>
      <c r="N102" s="9">
        <v>1</v>
      </c>
      <c r="O102" s="3" t="s">
        <v>619</v>
      </c>
      <c r="P102" s="3" t="s">
        <v>332</v>
      </c>
      <c r="Q102" s="12" t="str">
        <f>HYPERLINK("https://drive.google.com/file/d/1HHPKDy2jfVJUK7Q9RwRXoswA0MXvdoVf/view?usp=share_link","Buka Dokumen")</f>
        <v>Buka Dokumen</v>
      </c>
      <c r="R102" s="15" t="s">
        <v>744</v>
      </c>
    </row>
    <row r="103" spans="1:18" ht="126.75" customHeight="1">
      <c r="A103" s="6">
        <v>101</v>
      </c>
      <c r="B103" s="9" t="s">
        <v>626</v>
      </c>
      <c r="C103" s="3" t="s">
        <v>186</v>
      </c>
      <c r="D103" s="3" t="s">
        <v>745</v>
      </c>
      <c r="E103" s="3" t="s">
        <v>55</v>
      </c>
      <c r="F103" s="3" t="s">
        <v>56</v>
      </c>
      <c r="G103" s="3" t="s">
        <v>746</v>
      </c>
      <c r="H103" s="3" t="s">
        <v>747</v>
      </c>
      <c r="I103" s="3" t="s">
        <v>748</v>
      </c>
      <c r="J103" s="9" t="s">
        <v>26</v>
      </c>
      <c r="K103" s="9" t="s">
        <v>749</v>
      </c>
      <c r="L103" s="9" t="s">
        <v>750</v>
      </c>
      <c r="M103" s="9" t="s">
        <v>29</v>
      </c>
      <c r="N103" s="9">
        <v>1</v>
      </c>
      <c r="O103" s="3" t="s">
        <v>751</v>
      </c>
      <c r="P103" s="3" t="s">
        <v>332</v>
      </c>
      <c r="Q103" s="12" t="str">
        <f>HYPERLINK("https://drive.google.com/file/d/1NsRb5xNREZE35SQ4Yp6SZUgWDpBQpWCP/view?usp=share_link","Buka Dokumen")</f>
        <v>Buka Dokumen</v>
      </c>
      <c r="R103" s="15" t="s">
        <v>752</v>
      </c>
    </row>
    <row r="104" spans="1:18" ht="126.75" customHeight="1">
      <c r="A104" s="6">
        <v>102</v>
      </c>
      <c r="B104" s="9" t="s">
        <v>626</v>
      </c>
      <c r="C104" s="3" t="s">
        <v>108</v>
      </c>
      <c r="D104" s="3" t="s">
        <v>753</v>
      </c>
      <c r="E104" s="3" t="s">
        <v>21</v>
      </c>
      <c r="F104" s="3" t="s">
        <v>56</v>
      </c>
      <c r="G104" s="3" t="s">
        <v>754</v>
      </c>
      <c r="H104" s="3" t="s">
        <v>755</v>
      </c>
      <c r="I104" s="3" t="s">
        <v>756</v>
      </c>
      <c r="J104" s="9" t="s">
        <v>26</v>
      </c>
      <c r="K104" s="9" t="s">
        <v>757</v>
      </c>
      <c r="L104" s="9" t="s">
        <v>758</v>
      </c>
      <c r="M104" s="9" t="s">
        <v>29</v>
      </c>
      <c r="N104" s="9">
        <v>1</v>
      </c>
      <c r="O104" s="3" t="s">
        <v>759</v>
      </c>
      <c r="P104" s="3" t="s">
        <v>332</v>
      </c>
      <c r="Q104" s="12" t="str">
        <f>HYPERLINK("https://drive.google.com/file/d/1zmw_OqrHty6Ma6VqLfAsXEkuGVWzrQyV/view?usp=share_link","Buka Dokumen")</f>
        <v>Buka Dokumen</v>
      </c>
      <c r="R104" s="15" t="s">
        <v>760</v>
      </c>
    </row>
    <row r="105" spans="1:18" ht="126.75" customHeight="1">
      <c r="A105" s="6">
        <v>103</v>
      </c>
      <c r="B105" s="9" t="s">
        <v>626</v>
      </c>
      <c r="C105" s="3" t="s">
        <v>108</v>
      </c>
      <c r="D105" s="3" t="s">
        <v>761</v>
      </c>
      <c r="E105" s="3" t="s">
        <v>21</v>
      </c>
      <c r="F105" s="3" t="s">
        <v>56</v>
      </c>
      <c r="G105" s="3" t="s">
        <v>762</v>
      </c>
      <c r="H105" s="3" t="s">
        <v>763</v>
      </c>
      <c r="I105" s="3" t="s">
        <v>764</v>
      </c>
      <c r="J105" s="9" t="s">
        <v>26</v>
      </c>
      <c r="K105" s="9" t="s">
        <v>765</v>
      </c>
      <c r="L105" s="9" t="s">
        <v>766</v>
      </c>
      <c r="M105" s="9" t="s">
        <v>29</v>
      </c>
      <c r="N105" s="9">
        <v>1</v>
      </c>
      <c r="O105" s="3" t="s">
        <v>619</v>
      </c>
      <c r="P105" s="3" t="s">
        <v>332</v>
      </c>
      <c r="Q105" s="12" t="str">
        <f>HYPERLINK("https://drive.google.com/file/d/1nBeAxCfT71IKS8oL1N9IBaTnATCUQAqF/view?usp=share_link","Buka Dokumen")</f>
        <v>Buka Dokumen</v>
      </c>
      <c r="R105" s="15" t="s">
        <v>767</v>
      </c>
    </row>
    <row r="106" spans="1:18" ht="126.75" customHeight="1">
      <c r="A106" s="6">
        <v>104</v>
      </c>
      <c r="B106" s="9" t="s">
        <v>626</v>
      </c>
      <c r="C106" s="3" t="s">
        <v>108</v>
      </c>
      <c r="D106" s="3" t="s">
        <v>768</v>
      </c>
      <c r="E106" s="3" t="s">
        <v>21</v>
      </c>
      <c r="F106" s="3" t="s">
        <v>56</v>
      </c>
      <c r="G106" s="3" t="s">
        <v>769</v>
      </c>
      <c r="H106" s="3" t="s">
        <v>770</v>
      </c>
      <c r="I106" s="3" t="s">
        <v>771</v>
      </c>
      <c r="J106" s="9" t="s">
        <v>26</v>
      </c>
      <c r="K106" s="9" t="s">
        <v>772</v>
      </c>
      <c r="L106" s="9" t="s">
        <v>773</v>
      </c>
      <c r="M106" s="9" t="s">
        <v>29</v>
      </c>
      <c r="N106" s="9">
        <v>1</v>
      </c>
      <c r="O106" s="3" t="s">
        <v>774</v>
      </c>
      <c r="P106" s="3" t="s">
        <v>332</v>
      </c>
      <c r="Q106" s="12" t="str">
        <f>HYPERLINK("https://drive.google.com/file/d/1wXet7dWV_Qwf1DQ-g6Yb3wshS98Y5KF4/view?usp=share_link","Buka Dokumen")</f>
        <v>Buka Dokumen</v>
      </c>
      <c r="R106" s="15" t="s">
        <v>775</v>
      </c>
    </row>
    <row r="107" spans="1:18" ht="126.75" customHeight="1">
      <c r="A107" s="6">
        <v>105</v>
      </c>
      <c r="B107" s="9" t="s">
        <v>776</v>
      </c>
      <c r="C107" s="3" t="s">
        <v>33</v>
      </c>
      <c r="D107" s="3" t="s">
        <v>777</v>
      </c>
      <c r="E107" s="3" t="s">
        <v>55</v>
      </c>
      <c r="F107" s="3" t="s">
        <v>778</v>
      </c>
      <c r="G107" s="3" t="s">
        <v>779</v>
      </c>
      <c r="H107" s="3" t="s">
        <v>780</v>
      </c>
      <c r="I107" s="3" t="s">
        <v>781</v>
      </c>
      <c r="J107" s="9" t="s">
        <v>60</v>
      </c>
      <c r="K107" s="9" t="s">
        <v>782</v>
      </c>
      <c r="L107" s="9" t="s">
        <v>783</v>
      </c>
      <c r="M107" s="9" t="s">
        <v>784</v>
      </c>
      <c r="N107" s="9">
        <v>0</v>
      </c>
      <c r="O107" s="3"/>
      <c r="P107" s="3"/>
      <c r="Q107" s="12" t="str">
        <f>HYPERLINK("https://drive.google.com/file/d/14tfZ5M78iXGQL4xweEYpEThU3H6WRn4V/view?usp=share_link","Buka Dokumen")</f>
        <v>Buka Dokumen</v>
      </c>
      <c r="R107" s="15" t="s">
        <v>785</v>
      </c>
    </row>
    <row r="108" spans="1:18" ht="126.75" customHeight="1">
      <c r="A108" s="6">
        <v>106</v>
      </c>
      <c r="B108" s="9" t="s">
        <v>776</v>
      </c>
      <c r="C108" s="3" t="s">
        <v>33</v>
      </c>
      <c r="D108" s="3" t="s">
        <v>777</v>
      </c>
      <c r="E108" s="3" t="s">
        <v>55</v>
      </c>
      <c r="F108" s="3" t="s">
        <v>453</v>
      </c>
      <c r="G108" s="3" t="s">
        <v>786</v>
      </c>
      <c r="H108" s="3" t="s">
        <v>780</v>
      </c>
      <c r="I108" s="3" t="s">
        <v>787</v>
      </c>
      <c r="J108" s="9" t="s">
        <v>60</v>
      </c>
      <c r="K108" s="9" t="s">
        <v>788</v>
      </c>
      <c r="L108" s="9" t="s">
        <v>789</v>
      </c>
      <c r="M108" s="9" t="s">
        <v>784</v>
      </c>
      <c r="N108" s="9">
        <v>0</v>
      </c>
      <c r="O108" s="3"/>
      <c r="P108" s="3"/>
      <c r="Q108" s="12" t="str">
        <f>HYPERLINK("https://drive.google.com/file/d/1GhDoIuuzItwsVIV877w6Mn61Kk_XBYY3/view?usp=share_link","Buka Dokumen")</f>
        <v>Buka Dokumen</v>
      </c>
      <c r="R108" s="15" t="s">
        <v>790</v>
      </c>
    </row>
    <row r="109" spans="1:18" ht="126.75" customHeight="1">
      <c r="A109" s="6">
        <v>107</v>
      </c>
      <c r="B109" s="9" t="s">
        <v>776</v>
      </c>
      <c r="C109" s="3" t="s">
        <v>33</v>
      </c>
      <c r="D109" s="3" t="s">
        <v>791</v>
      </c>
      <c r="E109" s="3" t="s">
        <v>55</v>
      </c>
      <c r="F109" s="3" t="s">
        <v>792</v>
      </c>
      <c r="G109" s="3" t="s">
        <v>793</v>
      </c>
      <c r="H109" s="3" t="s">
        <v>791</v>
      </c>
      <c r="I109" s="3" t="s">
        <v>794</v>
      </c>
      <c r="J109" s="9" t="s">
        <v>26</v>
      </c>
      <c r="K109" s="9" t="s">
        <v>795</v>
      </c>
      <c r="L109" s="9" t="s">
        <v>796</v>
      </c>
      <c r="M109" s="9" t="s">
        <v>29</v>
      </c>
      <c r="N109" s="9">
        <v>1</v>
      </c>
      <c r="O109" s="3" t="s">
        <v>797</v>
      </c>
      <c r="P109" s="3" t="s">
        <v>332</v>
      </c>
      <c r="Q109" s="12" t="str">
        <f>HYPERLINK("https://drive.google.com/file/d/1Ch4sAsBbWKavFtJOXVClD42kG90fnRxN/view?usp=share_link","Buka Dokumen")</f>
        <v>Buka Dokumen</v>
      </c>
      <c r="R109" s="15" t="s">
        <v>798</v>
      </c>
    </row>
    <row r="110" spans="1:18" ht="126.75" customHeight="1">
      <c r="A110" s="6">
        <v>108</v>
      </c>
      <c r="B110" s="9" t="s">
        <v>776</v>
      </c>
      <c r="C110" s="3" t="s">
        <v>33</v>
      </c>
      <c r="D110" s="3" t="s">
        <v>799</v>
      </c>
      <c r="E110" s="3" t="s">
        <v>55</v>
      </c>
      <c r="F110" s="3" t="s">
        <v>630</v>
      </c>
      <c r="G110" s="3" t="s">
        <v>800</v>
      </c>
      <c r="H110" s="3" t="s">
        <v>799</v>
      </c>
      <c r="I110" s="3" t="s">
        <v>801</v>
      </c>
      <c r="J110" s="9" t="s">
        <v>60</v>
      </c>
      <c r="K110" s="9" t="s">
        <v>802</v>
      </c>
      <c r="L110" s="9" t="s">
        <v>359</v>
      </c>
      <c r="M110" s="9" t="s">
        <v>784</v>
      </c>
      <c r="N110" s="9">
        <v>0</v>
      </c>
      <c r="O110" s="3"/>
      <c r="P110" s="3"/>
      <c r="Q110" s="12" t="str">
        <f>HYPERLINK("https://drive.google.com/file/d/1467Ff0DYmjMkySUQZPfjWdwXQZLcSV6o/view?usp=share_link","Buka Dokumen")</f>
        <v>Buka Dokumen</v>
      </c>
      <c r="R110" s="15" t="s">
        <v>803</v>
      </c>
    </row>
    <row r="111" spans="1:18" ht="126.75" customHeight="1">
      <c r="A111" s="6">
        <v>109</v>
      </c>
      <c r="B111" s="9" t="s">
        <v>776</v>
      </c>
      <c r="C111" s="3" t="s">
        <v>33</v>
      </c>
      <c r="D111" s="3" t="s">
        <v>804</v>
      </c>
      <c r="E111" s="3" t="s">
        <v>55</v>
      </c>
      <c r="F111" s="3" t="s">
        <v>630</v>
      </c>
      <c r="G111" s="3" t="s">
        <v>800</v>
      </c>
      <c r="H111" s="3" t="s">
        <v>805</v>
      </c>
      <c r="I111" s="3" t="s">
        <v>801</v>
      </c>
      <c r="J111" s="9" t="s">
        <v>60</v>
      </c>
      <c r="K111" s="9" t="s">
        <v>802</v>
      </c>
      <c r="L111" s="9" t="s">
        <v>359</v>
      </c>
      <c r="M111" s="9" t="s">
        <v>784</v>
      </c>
      <c r="N111" s="9">
        <v>0</v>
      </c>
      <c r="O111" s="3"/>
      <c r="P111" s="3"/>
      <c r="Q111" s="12" t="str">
        <f>HYPERLINK("https://drive.google.com/file/d/1AsTlJZEgQRujh6m3Dhmycb415f79qFUJ/view?usp=drive_link","Buka Dokumen")</f>
        <v>Buka Dokumen</v>
      </c>
      <c r="R111" s="15" t="s">
        <v>806</v>
      </c>
    </row>
    <row r="112" spans="1:18" ht="126.75" customHeight="1">
      <c r="A112" s="6">
        <v>110</v>
      </c>
      <c r="B112" s="9" t="s">
        <v>776</v>
      </c>
      <c r="C112" s="3" t="s">
        <v>33</v>
      </c>
      <c r="D112" s="3" t="s">
        <v>807</v>
      </c>
      <c r="E112" s="3" t="s">
        <v>55</v>
      </c>
      <c r="F112" s="3" t="s">
        <v>808</v>
      </c>
      <c r="G112" s="3" t="s">
        <v>809</v>
      </c>
      <c r="H112" s="3" t="s">
        <v>630</v>
      </c>
      <c r="I112" s="3" t="s">
        <v>810</v>
      </c>
      <c r="J112" s="9" t="s">
        <v>60</v>
      </c>
      <c r="K112" s="9" t="s">
        <v>811</v>
      </c>
      <c r="L112" s="9" t="s">
        <v>812</v>
      </c>
      <c r="M112" s="9" t="s">
        <v>784</v>
      </c>
      <c r="N112" s="9">
        <v>0</v>
      </c>
      <c r="O112" s="3"/>
      <c r="P112" s="3"/>
      <c r="Q112" s="12" t="str">
        <f>HYPERLINK("https://drive.google.com/file/d/1vAUKT2H5LBQWYrMkr2L6Gm1ST0rP0Vfm/view?usp=drive_link","Buka Dokumen")</f>
        <v>Buka Dokumen</v>
      </c>
      <c r="R112" s="15" t="s">
        <v>813</v>
      </c>
    </row>
    <row r="113" spans="1:18" ht="126.75" customHeight="1">
      <c r="A113" s="6">
        <v>111</v>
      </c>
      <c r="B113" s="9" t="s">
        <v>776</v>
      </c>
      <c r="C113" s="3" t="s">
        <v>33</v>
      </c>
      <c r="D113" s="3" t="s">
        <v>814</v>
      </c>
      <c r="E113" s="3" t="s">
        <v>55</v>
      </c>
      <c r="F113" s="3" t="s">
        <v>815</v>
      </c>
      <c r="G113" s="3" t="s">
        <v>816</v>
      </c>
      <c r="H113" s="3" t="s">
        <v>630</v>
      </c>
      <c r="I113" s="3" t="s">
        <v>817</v>
      </c>
      <c r="J113" s="9" t="s">
        <v>26</v>
      </c>
      <c r="K113" s="9" t="s">
        <v>818</v>
      </c>
      <c r="L113" s="9" t="s">
        <v>819</v>
      </c>
      <c r="M113" s="9" t="s">
        <v>29</v>
      </c>
      <c r="N113" s="9">
        <v>1</v>
      </c>
      <c r="O113" s="3" t="s">
        <v>820</v>
      </c>
      <c r="P113" s="3" t="s">
        <v>332</v>
      </c>
      <c r="Q113" s="12" t="str">
        <f>HYPERLINK("https://drive.google.com/file/d/1FnfqeaZOZy9TMycodhe6fr1I5POKmyDr/view?usp=drive_link","Buka Dokumen")</f>
        <v>Buka Dokumen</v>
      </c>
      <c r="R113" s="15" t="s">
        <v>821</v>
      </c>
    </row>
    <row r="114" spans="1:18" ht="126.75" customHeight="1">
      <c r="A114" s="6">
        <v>112</v>
      </c>
      <c r="B114" s="9" t="s">
        <v>776</v>
      </c>
      <c r="C114" s="3" t="s">
        <v>33</v>
      </c>
      <c r="D114" s="3" t="s">
        <v>822</v>
      </c>
      <c r="E114" s="3" t="s">
        <v>55</v>
      </c>
      <c r="F114" s="3" t="s">
        <v>823</v>
      </c>
      <c r="G114" s="3" t="s">
        <v>824</v>
      </c>
      <c r="H114" s="3" t="s">
        <v>825</v>
      </c>
      <c r="I114" s="3" t="s">
        <v>826</v>
      </c>
      <c r="J114" s="9" t="s">
        <v>60</v>
      </c>
      <c r="K114" s="9" t="s">
        <v>827</v>
      </c>
      <c r="L114" s="9" t="s">
        <v>828</v>
      </c>
      <c r="M114" s="9" t="s">
        <v>784</v>
      </c>
      <c r="N114" s="9">
        <v>0</v>
      </c>
      <c r="O114" s="3"/>
      <c r="P114" s="3"/>
      <c r="Q114" s="12" t="str">
        <f>HYPERLINK("https://drive.google.com/file/d/1U4XAldEfNR_ucjSSMIrJ0hamoh4zaF-d/view?usp=share_link","Buka Dokumen")</f>
        <v>Buka Dokumen</v>
      </c>
      <c r="R114" s="15" t="s">
        <v>829</v>
      </c>
    </row>
    <row r="115" spans="1:18" ht="126.75" customHeight="1">
      <c r="A115" s="6">
        <v>113</v>
      </c>
      <c r="B115" s="9" t="s">
        <v>776</v>
      </c>
      <c r="C115" s="3" t="s">
        <v>186</v>
      </c>
      <c r="D115" s="3" t="s">
        <v>830</v>
      </c>
      <c r="E115" s="3" t="s">
        <v>55</v>
      </c>
      <c r="F115" s="3" t="s">
        <v>831</v>
      </c>
      <c r="G115" s="3" t="s">
        <v>832</v>
      </c>
      <c r="H115" s="3" t="s">
        <v>833</v>
      </c>
      <c r="I115" s="3" t="s">
        <v>834</v>
      </c>
      <c r="J115" s="9" t="s">
        <v>420</v>
      </c>
      <c r="K115" s="9" t="s">
        <v>835</v>
      </c>
      <c r="L115" s="9" t="s">
        <v>836</v>
      </c>
      <c r="M115" s="9" t="s">
        <v>784</v>
      </c>
      <c r="N115" s="9">
        <v>0</v>
      </c>
      <c r="O115" s="3"/>
      <c r="P115" s="3"/>
      <c r="Q115" s="12" t="str">
        <f>HYPERLINK("https://drive.google.com/file/d/19CE3R7ihv9oiiGGRWbqOF2i7fk9wS1KW/view?usp=share_link","Buka Dokumen")</f>
        <v>Buka Dokumen</v>
      </c>
      <c r="R115" s="15" t="s">
        <v>837</v>
      </c>
    </row>
    <row r="116" spans="1:18" ht="126.75" customHeight="1">
      <c r="A116" s="6">
        <v>114</v>
      </c>
      <c r="B116" s="9" t="s">
        <v>776</v>
      </c>
      <c r="C116" s="3" t="s">
        <v>19</v>
      </c>
      <c r="D116" s="3" t="s">
        <v>838</v>
      </c>
      <c r="E116" s="3" t="s">
        <v>55</v>
      </c>
      <c r="F116" s="3" t="s">
        <v>839</v>
      </c>
      <c r="G116" s="3" t="s">
        <v>840</v>
      </c>
      <c r="H116" s="3" t="s">
        <v>613</v>
      </c>
      <c r="I116" s="3" t="s">
        <v>841</v>
      </c>
      <c r="J116" s="9" t="s">
        <v>60</v>
      </c>
      <c r="K116" s="9" t="s">
        <v>842</v>
      </c>
      <c r="L116" s="9" t="s">
        <v>843</v>
      </c>
      <c r="M116" s="9" t="s">
        <v>784</v>
      </c>
      <c r="N116" s="9">
        <v>0</v>
      </c>
      <c r="O116" s="3"/>
      <c r="P116" s="3"/>
      <c r="Q116" s="12" t="str">
        <f>HYPERLINK("https://drive.google.com/file/d/1jkL6sr4HuPnQH4uwmXlXB2VJPMOhzdhR/view?usp=drive_link","Buka Dokumen")</f>
        <v>Buka Dokumen</v>
      </c>
      <c r="R116" s="15" t="s">
        <v>844</v>
      </c>
    </row>
    <row r="117" spans="1:18" ht="126.75" customHeight="1">
      <c r="A117" s="6">
        <v>115</v>
      </c>
      <c r="B117" s="9" t="s">
        <v>776</v>
      </c>
      <c r="C117" s="3" t="s">
        <v>93</v>
      </c>
      <c r="D117" s="3" t="s">
        <v>845</v>
      </c>
      <c r="E117" s="3" t="s">
        <v>55</v>
      </c>
      <c r="F117" s="3" t="s">
        <v>846</v>
      </c>
      <c r="G117" s="3" t="s">
        <v>847</v>
      </c>
      <c r="H117" s="3" t="s">
        <v>613</v>
      </c>
      <c r="I117" s="3" t="s">
        <v>848</v>
      </c>
      <c r="J117" s="9" t="s">
        <v>26</v>
      </c>
      <c r="K117" s="9" t="s">
        <v>849</v>
      </c>
      <c r="L117" s="9" t="s">
        <v>850</v>
      </c>
      <c r="M117" s="9" t="s">
        <v>29</v>
      </c>
      <c r="N117" s="9">
        <v>1</v>
      </c>
      <c r="O117" s="3" t="s">
        <v>851</v>
      </c>
      <c r="P117" s="3" t="s">
        <v>332</v>
      </c>
      <c r="Q117" s="12" t="str">
        <f>HYPERLINK("https://drive.google.com/file/d/1jm95_5j3nXBJRgR2DIxLEMldomV3bNmN/view?usp=drive_link","Buka Dokumen")</f>
        <v>Buka Dokumen</v>
      </c>
      <c r="R117" s="15" t="s">
        <v>852</v>
      </c>
    </row>
    <row r="118" spans="1:18" ht="126.75" customHeight="1">
      <c r="A118" s="6">
        <v>116</v>
      </c>
      <c r="B118" s="9" t="s">
        <v>776</v>
      </c>
      <c r="C118" s="3" t="s">
        <v>33</v>
      </c>
      <c r="D118" s="3" t="s">
        <v>853</v>
      </c>
      <c r="E118" s="3" t="s">
        <v>35</v>
      </c>
      <c r="F118" s="3" t="s">
        <v>22</v>
      </c>
      <c r="G118" s="3" t="s">
        <v>854</v>
      </c>
      <c r="H118" s="3" t="s">
        <v>855</v>
      </c>
      <c r="I118" s="3" t="s">
        <v>856</v>
      </c>
      <c r="J118" s="9" t="s">
        <v>60</v>
      </c>
      <c r="K118" s="9" t="s">
        <v>857</v>
      </c>
      <c r="L118" s="9" t="s">
        <v>858</v>
      </c>
      <c r="M118" s="9" t="s">
        <v>784</v>
      </c>
      <c r="N118" s="9">
        <v>0</v>
      </c>
      <c r="O118" s="3"/>
      <c r="P118" s="3"/>
      <c r="Q118" s="12" t="str">
        <f>HYPERLINK("https://drive.google.com/file/d/1eMIZ6e716tTT_pzmeu3LXk3wXije1JE2/view?usp=share_link","Buka Dokumen")</f>
        <v>Buka Dokumen</v>
      </c>
      <c r="R118" s="15" t="s">
        <v>859</v>
      </c>
    </row>
    <row r="119" spans="1:18" ht="126.75" customHeight="1">
      <c r="A119" s="6">
        <v>117</v>
      </c>
      <c r="B119" s="9" t="s">
        <v>776</v>
      </c>
      <c r="C119" s="3" t="s">
        <v>33</v>
      </c>
      <c r="D119" s="3" t="s">
        <v>860</v>
      </c>
      <c r="E119" s="3" t="s">
        <v>95</v>
      </c>
      <c r="F119" s="3" t="s">
        <v>22</v>
      </c>
      <c r="G119" s="3" t="s">
        <v>861</v>
      </c>
      <c r="H119" s="3" t="s">
        <v>862</v>
      </c>
      <c r="I119" s="3" t="s">
        <v>863</v>
      </c>
      <c r="J119" s="9" t="s">
        <v>26</v>
      </c>
      <c r="K119" s="9" t="s">
        <v>864</v>
      </c>
      <c r="L119" s="9" t="s">
        <v>865</v>
      </c>
      <c r="M119" s="9" t="s">
        <v>29</v>
      </c>
      <c r="N119" s="9">
        <v>1</v>
      </c>
      <c r="O119" s="3" t="s">
        <v>866</v>
      </c>
      <c r="P119" s="3" t="s">
        <v>332</v>
      </c>
      <c r="Q119" s="12" t="str">
        <f>HYPERLINK("https://drive.google.com/file/d/1TnHQyyv48mjkOuFRomAMxt2xj6Sy5DaG/view?usp=share_link","Buka Dokumen")</f>
        <v>Buka Dokumen</v>
      </c>
      <c r="R119" s="15" t="s">
        <v>867</v>
      </c>
    </row>
    <row r="120" spans="1:18" ht="126.75" customHeight="1">
      <c r="A120" s="6">
        <v>118</v>
      </c>
      <c r="B120" s="9" t="s">
        <v>776</v>
      </c>
      <c r="C120" s="3" t="s">
        <v>33</v>
      </c>
      <c r="D120" s="3" t="s">
        <v>868</v>
      </c>
      <c r="E120" s="3" t="s">
        <v>21</v>
      </c>
      <c r="F120" s="3" t="s">
        <v>22</v>
      </c>
      <c r="G120" s="3" t="s">
        <v>869</v>
      </c>
      <c r="H120" s="3" t="s">
        <v>870</v>
      </c>
      <c r="I120" s="3" t="s">
        <v>871</v>
      </c>
      <c r="J120" s="9" t="s">
        <v>26</v>
      </c>
      <c r="K120" s="9" t="s">
        <v>872</v>
      </c>
      <c r="L120" s="9" t="s">
        <v>873</v>
      </c>
      <c r="M120" s="9" t="s">
        <v>29</v>
      </c>
      <c r="N120" s="9">
        <v>1</v>
      </c>
      <c r="O120" s="3" t="s">
        <v>874</v>
      </c>
      <c r="P120" s="3" t="s">
        <v>332</v>
      </c>
      <c r="Q120" s="12" t="str">
        <f>HYPERLINK("https://drive.google.com/file/d/1NG8boaNpE3elruq3SIZzTtjcoNtRvpc2/view?usp=share_link","Buka Dokumen")</f>
        <v>Buka Dokumen</v>
      </c>
      <c r="R120" s="15" t="s">
        <v>875</v>
      </c>
    </row>
    <row r="121" spans="1:18" ht="126.75" customHeight="1">
      <c r="A121" s="6">
        <v>119</v>
      </c>
      <c r="B121" s="9" t="s">
        <v>776</v>
      </c>
      <c r="C121" s="3" t="s">
        <v>33</v>
      </c>
      <c r="D121" s="3" t="s">
        <v>876</v>
      </c>
      <c r="E121" s="3" t="s">
        <v>21</v>
      </c>
      <c r="F121" s="3" t="s">
        <v>22</v>
      </c>
      <c r="G121" s="3" t="s">
        <v>877</v>
      </c>
      <c r="H121" s="3" t="s">
        <v>878</v>
      </c>
      <c r="I121" s="3" t="s">
        <v>879</v>
      </c>
      <c r="J121" s="9" t="s">
        <v>26</v>
      </c>
      <c r="K121" s="9" t="s">
        <v>880</v>
      </c>
      <c r="L121" s="9" t="s">
        <v>881</v>
      </c>
      <c r="M121" s="9" t="s">
        <v>29</v>
      </c>
      <c r="N121" s="9">
        <v>1</v>
      </c>
      <c r="O121" s="3" t="s">
        <v>882</v>
      </c>
      <c r="P121" s="3" t="s">
        <v>332</v>
      </c>
      <c r="Q121" s="12" t="str">
        <f>HYPERLINK("https://drive.google.com/file/d/1bqZ02hK9_r2nOUvFw4nnDiQmD-IHk9-Z/view?usp=share_link","Buka Dokumen")</f>
        <v>Buka Dokumen</v>
      </c>
      <c r="R121" s="15" t="s">
        <v>883</v>
      </c>
    </row>
    <row r="122" spans="1:18" ht="126.75" customHeight="1">
      <c r="A122" s="6">
        <v>120</v>
      </c>
      <c r="B122" s="9" t="s">
        <v>776</v>
      </c>
      <c r="C122" s="3" t="s">
        <v>33</v>
      </c>
      <c r="D122" s="3" t="s">
        <v>290</v>
      </c>
      <c r="E122" s="3" t="s">
        <v>21</v>
      </c>
      <c r="F122" s="3" t="s">
        <v>22</v>
      </c>
      <c r="G122" s="3" t="s">
        <v>884</v>
      </c>
      <c r="H122" s="3" t="s">
        <v>885</v>
      </c>
      <c r="I122" s="3" t="s">
        <v>886</v>
      </c>
      <c r="J122" s="9" t="s">
        <v>39</v>
      </c>
      <c r="K122" s="9" t="s">
        <v>887</v>
      </c>
      <c r="L122" s="9" t="s">
        <v>888</v>
      </c>
      <c r="M122" s="9" t="s">
        <v>29</v>
      </c>
      <c r="N122" s="9">
        <v>1</v>
      </c>
      <c r="O122" s="3" t="s">
        <v>889</v>
      </c>
      <c r="P122" s="3" t="s">
        <v>332</v>
      </c>
      <c r="Q122" s="12" t="str">
        <f>HYPERLINK("https://drive.google.com/file/d/1voWuYnKwzOtsWlaJOF3f5KCYgporerCH/view?usp=share_link","Buka Dokumen")</f>
        <v>Buka Dokumen</v>
      </c>
      <c r="R122" s="15" t="s">
        <v>890</v>
      </c>
    </row>
    <row r="123" spans="1:18" ht="126.75" customHeight="1">
      <c r="A123" s="6">
        <v>121</v>
      </c>
      <c r="B123" s="9" t="s">
        <v>776</v>
      </c>
      <c r="C123" s="3"/>
      <c r="D123" s="3" t="s">
        <v>891</v>
      </c>
      <c r="E123" s="3" t="s">
        <v>35</v>
      </c>
      <c r="F123" s="3" t="s">
        <v>22</v>
      </c>
      <c r="G123" s="3" t="s">
        <v>892</v>
      </c>
      <c r="H123" s="3" t="s">
        <v>893</v>
      </c>
      <c r="I123" s="3" t="s">
        <v>894</v>
      </c>
      <c r="J123" s="9"/>
      <c r="K123" s="9" t="s">
        <v>895</v>
      </c>
      <c r="L123" s="9"/>
      <c r="M123" s="9" t="s">
        <v>896</v>
      </c>
      <c r="N123" s="9">
        <v>1</v>
      </c>
      <c r="O123" s="3" t="s">
        <v>897</v>
      </c>
      <c r="P123" s="3" t="s">
        <v>332</v>
      </c>
      <c r="Q123" s="12" t="str">
        <f>HYPERLINK("https://drive.google.com/file/d/1HfOods9-9Yn8hwN9uVJD3gL-2YXwAN1Z/view?usp=share_link","Buka Dokumen")</f>
        <v>Buka Dokumen</v>
      </c>
      <c r="R123" s="15" t="s">
        <v>898</v>
      </c>
    </row>
    <row r="124" spans="1:18" ht="126.75" customHeight="1">
      <c r="A124" s="6">
        <v>122</v>
      </c>
      <c r="B124" s="9" t="s">
        <v>776</v>
      </c>
      <c r="C124" s="3"/>
      <c r="D124" s="3" t="s">
        <v>822</v>
      </c>
      <c r="E124" s="3" t="s">
        <v>35</v>
      </c>
      <c r="F124" s="3" t="s">
        <v>22</v>
      </c>
      <c r="G124" s="3" t="s">
        <v>899</v>
      </c>
      <c r="H124" s="3" t="s">
        <v>390</v>
      </c>
      <c r="I124" s="3" t="s">
        <v>900</v>
      </c>
      <c r="J124" s="9" t="s">
        <v>60</v>
      </c>
      <c r="K124" s="9" t="s">
        <v>901</v>
      </c>
      <c r="L124" s="9" t="s">
        <v>902</v>
      </c>
      <c r="M124" s="9" t="s">
        <v>784</v>
      </c>
      <c r="N124" s="9">
        <v>0</v>
      </c>
      <c r="O124" s="3"/>
      <c r="P124" s="3"/>
      <c r="Q124" s="12" t="str">
        <f>HYPERLINK("https://drive.google.com/file/d/1q1-S9MN-3F9u_oOL4FAWRLx4RFBJ2Z-_/view?usp=share_link","Buka Dokumen")</f>
        <v>Buka Dokumen</v>
      </c>
      <c r="R124" s="15" t="s">
        <v>903</v>
      </c>
    </row>
    <row r="125" spans="1:18" ht="126.75" customHeight="1">
      <c r="A125" s="6">
        <v>123</v>
      </c>
      <c r="B125" s="9" t="s">
        <v>776</v>
      </c>
      <c r="C125" s="3"/>
      <c r="D125" s="3" t="s">
        <v>904</v>
      </c>
      <c r="E125" s="3" t="s">
        <v>21</v>
      </c>
      <c r="F125" s="3" t="s">
        <v>22</v>
      </c>
      <c r="G125" s="3" t="s">
        <v>905</v>
      </c>
      <c r="H125" s="3" t="s">
        <v>906</v>
      </c>
      <c r="I125" s="3" t="s">
        <v>907</v>
      </c>
      <c r="J125" s="9" t="s">
        <v>26</v>
      </c>
      <c r="K125" s="9" t="s">
        <v>908</v>
      </c>
      <c r="L125" s="9" t="s">
        <v>909</v>
      </c>
      <c r="M125" s="9" t="s">
        <v>29</v>
      </c>
      <c r="N125" s="9">
        <v>0</v>
      </c>
      <c r="O125" s="3"/>
      <c r="P125" s="3"/>
      <c r="Q125" s="12" t="str">
        <f>HYPERLINK("https://drive.google.com/file/d/1M-EZHhZR3uX8lq6MEUwOUqSZug291fTq/view?usp=share_link","Buka Dokumen")</f>
        <v>Buka Dokumen</v>
      </c>
      <c r="R125" s="15" t="s">
        <v>910</v>
      </c>
    </row>
    <row r="126" spans="1:18" ht="126.75" customHeight="1">
      <c r="A126" s="6">
        <v>124</v>
      </c>
      <c r="B126" s="9" t="s">
        <v>776</v>
      </c>
      <c r="C126" s="3"/>
      <c r="D126" s="3" t="s">
        <v>911</v>
      </c>
      <c r="E126" s="3" t="s">
        <v>21</v>
      </c>
      <c r="F126" s="3" t="s">
        <v>22</v>
      </c>
      <c r="G126" s="3" t="s">
        <v>912</v>
      </c>
      <c r="H126" s="3" t="s">
        <v>913</v>
      </c>
      <c r="I126" s="3" t="s">
        <v>914</v>
      </c>
      <c r="J126" s="9" t="s">
        <v>26</v>
      </c>
      <c r="K126" s="9" t="s">
        <v>915</v>
      </c>
      <c r="L126" s="9" t="s">
        <v>916</v>
      </c>
      <c r="M126" s="9" t="s">
        <v>29</v>
      </c>
      <c r="N126" s="9">
        <v>0</v>
      </c>
      <c r="O126" s="3"/>
      <c r="P126" s="3"/>
      <c r="Q126" s="12" t="str">
        <f>HYPERLINK("https://drive.google.com/file/d/1X_plA_mqifg5BJbUcxVMA37Omo0rireJ/view?usp=share_link","Buka Dokumen")</f>
        <v>Buka Dokumen</v>
      </c>
      <c r="R126" s="15" t="s">
        <v>917</v>
      </c>
    </row>
    <row r="127" spans="1:18" ht="126.75" customHeight="1">
      <c r="A127" s="6">
        <v>125</v>
      </c>
      <c r="B127" s="9" t="s">
        <v>776</v>
      </c>
      <c r="C127" s="3"/>
      <c r="D127" s="3" t="s">
        <v>918</v>
      </c>
      <c r="E127" s="3" t="s">
        <v>95</v>
      </c>
      <c r="F127" s="3" t="s">
        <v>22</v>
      </c>
      <c r="G127" s="3" t="s">
        <v>919</v>
      </c>
      <c r="H127" s="3" t="s">
        <v>628</v>
      </c>
      <c r="I127" s="3" t="s">
        <v>900</v>
      </c>
      <c r="J127" s="9" t="s">
        <v>26</v>
      </c>
      <c r="K127" s="9" t="s">
        <v>920</v>
      </c>
      <c r="L127" s="9" t="s">
        <v>921</v>
      </c>
      <c r="M127" s="9" t="s">
        <v>29</v>
      </c>
      <c r="N127" s="9">
        <v>0</v>
      </c>
      <c r="O127" s="3"/>
      <c r="P127" s="3"/>
      <c r="Q127" s="12" t="str">
        <f>HYPERLINK("https://drive.google.com/file/d/1DenRtkDFhIivLi1h4cqjO5v_NECe0MOe/view?usp=share_link","Buka Dokumen")</f>
        <v>Buka Dokumen</v>
      </c>
      <c r="R127" s="15" t="s">
        <v>922</v>
      </c>
    </row>
    <row r="128" spans="1:18" ht="126.75" customHeight="1">
      <c r="A128" s="6">
        <v>126</v>
      </c>
      <c r="B128" s="9" t="s">
        <v>776</v>
      </c>
      <c r="C128" s="3"/>
      <c r="D128" s="3" t="s">
        <v>923</v>
      </c>
      <c r="E128" s="3" t="s">
        <v>21</v>
      </c>
      <c r="F128" s="3" t="s">
        <v>22</v>
      </c>
      <c r="G128" s="3" t="s">
        <v>924</v>
      </c>
      <c r="H128" s="3" t="s">
        <v>925</v>
      </c>
      <c r="I128" s="3"/>
      <c r="J128" s="9" t="s">
        <v>26</v>
      </c>
      <c r="K128" s="9" t="s">
        <v>926</v>
      </c>
      <c r="L128" s="9" t="s">
        <v>926</v>
      </c>
      <c r="M128" s="9" t="s">
        <v>784</v>
      </c>
      <c r="N128" s="9">
        <v>0</v>
      </c>
      <c r="O128" s="3"/>
      <c r="P128" s="3"/>
      <c r="Q128" s="12" t="str">
        <f>HYPERLINK("https://drive.google.com/file/d/142uQ-5sIdz0EHSFgySAnSEiyhw9wXD2L/view?usp=share_link","Buka Dokumen")</f>
        <v>Buka Dokumen</v>
      </c>
      <c r="R128" s="15" t="s">
        <v>927</v>
      </c>
    </row>
    <row r="129" spans="1:18" ht="126.75" customHeight="1">
      <c r="A129" s="6">
        <v>127</v>
      </c>
      <c r="B129" s="9" t="s">
        <v>776</v>
      </c>
      <c r="C129" s="3"/>
      <c r="D129" s="3" t="s">
        <v>928</v>
      </c>
      <c r="E129" s="3" t="s">
        <v>21</v>
      </c>
      <c r="F129" s="3" t="s">
        <v>22</v>
      </c>
      <c r="G129" s="3" t="s">
        <v>929</v>
      </c>
      <c r="H129" s="3" t="s">
        <v>930</v>
      </c>
      <c r="I129" s="3" t="s">
        <v>931</v>
      </c>
      <c r="J129" s="9"/>
      <c r="K129" s="9" t="s">
        <v>932</v>
      </c>
      <c r="L129" s="9"/>
      <c r="M129" s="9" t="s">
        <v>784</v>
      </c>
      <c r="N129" s="9">
        <v>0</v>
      </c>
      <c r="O129" s="3"/>
      <c r="P129" s="3"/>
      <c r="Q129" s="12" t="str">
        <f>HYPERLINK("https://drive.google.com/file/d/1mbkAXKj5gKofYz0AJhD3TRj1VQKh7urt/view?usp=share_link","Buka Dokumen")</f>
        <v>Buka Dokumen</v>
      </c>
      <c r="R129" s="15" t="s">
        <v>933</v>
      </c>
    </row>
    <row r="130" spans="1:18" ht="126.75" customHeight="1">
      <c r="A130" s="6">
        <v>128</v>
      </c>
      <c r="B130" s="9" t="s">
        <v>776</v>
      </c>
      <c r="C130" s="3"/>
      <c r="D130" s="3" t="s">
        <v>934</v>
      </c>
      <c r="E130" s="3" t="s">
        <v>21</v>
      </c>
      <c r="F130" s="3" t="s">
        <v>22</v>
      </c>
      <c r="G130" s="3" t="s">
        <v>935</v>
      </c>
      <c r="H130" s="3" t="s">
        <v>936</v>
      </c>
      <c r="I130" s="3" t="s">
        <v>937</v>
      </c>
      <c r="J130" s="9" t="s">
        <v>26</v>
      </c>
      <c r="K130" s="9" t="s">
        <v>938</v>
      </c>
      <c r="L130" s="9" t="s">
        <v>939</v>
      </c>
      <c r="M130" s="9" t="s">
        <v>29</v>
      </c>
      <c r="N130" s="9">
        <v>0</v>
      </c>
      <c r="O130" s="3"/>
      <c r="P130" s="3"/>
      <c r="Q130" s="12" t="str">
        <f>HYPERLINK("https://drive.google.com/file/d/1jN7GxsNT6Txg6yoakjQSEYvb-LbcasZE/view?usp=share_link","Buka Dokumen")</f>
        <v>Buka Dokumen</v>
      </c>
      <c r="R130" s="15" t="s">
        <v>940</v>
      </c>
    </row>
    <row r="131" spans="1:18" ht="126.75" customHeight="1">
      <c r="A131" s="6">
        <v>129</v>
      </c>
      <c r="B131" s="9" t="s">
        <v>776</v>
      </c>
      <c r="C131" s="3"/>
      <c r="D131" s="3" t="s">
        <v>777</v>
      </c>
      <c r="E131" s="3" t="s">
        <v>21</v>
      </c>
      <c r="F131" s="3" t="s">
        <v>56</v>
      </c>
      <c r="G131" s="3" t="s">
        <v>941</v>
      </c>
      <c r="H131" s="3" t="s">
        <v>942</v>
      </c>
      <c r="I131" s="3" t="s">
        <v>943</v>
      </c>
      <c r="J131" s="9" t="s">
        <v>26</v>
      </c>
      <c r="K131" s="9" t="s">
        <v>944</v>
      </c>
      <c r="L131" s="9" t="s">
        <v>945</v>
      </c>
      <c r="M131" s="9" t="s">
        <v>784</v>
      </c>
      <c r="N131" s="9">
        <v>0</v>
      </c>
      <c r="O131" s="3"/>
      <c r="P131" s="3"/>
      <c r="Q131" s="12" t="str">
        <f>HYPERLINK("https://drive.google.com/file/d/1UsqEMlxCIdNVMmh2xgJSc1DEhBh4dIAk/view?usp=share_link","Buka Dokumen")</f>
        <v>Buka Dokumen</v>
      </c>
      <c r="R131" s="15" t="s">
        <v>946</v>
      </c>
    </row>
    <row r="132" spans="1:18" ht="126.75" customHeight="1">
      <c r="A132" s="6">
        <v>130</v>
      </c>
      <c r="B132" s="9" t="s">
        <v>776</v>
      </c>
      <c r="C132" s="3"/>
      <c r="D132" s="3" t="s">
        <v>355</v>
      </c>
      <c r="E132" s="3" t="s">
        <v>21</v>
      </c>
      <c r="F132" s="3" t="s">
        <v>56</v>
      </c>
      <c r="G132" s="3" t="s">
        <v>947</v>
      </c>
      <c r="H132" s="3" t="s">
        <v>948</v>
      </c>
      <c r="I132" s="3" t="s">
        <v>949</v>
      </c>
      <c r="J132" s="9" t="s">
        <v>60</v>
      </c>
      <c r="K132" s="9" t="s">
        <v>950</v>
      </c>
      <c r="L132" s="9" t="s">
        <v>359</v>
      </c>
      <c r="M132" s="9" t="s">
        <v>784</v>
      </c>
      <c r="N132" s="9">
        <v>0</v>
      </c>
      <c r="O132" s="3"/>
      <c r="P132" s="3"/>
      <c r="Q132" s="12" t="str">
        <f>HYPERLINK("https://drive.google.com/file/d/1iV9qseZj-s0MWss2Ku9NehzRhyf-Qk3b/view?usp=share_link","Buka Dokumen")</f>
        <v>Buka Dokumen</v>
      </c>
      <c r="R132" s="15" t="s">
        <v>951</v>
      </c>
    </row>
    <row r="133" spans="1:18" ht="126.75" customHeight="1">
      <c r="A133" s="6">
        <v>131</v>
      </c>
      <c r="B133" s="9" t="s">
        <v>776</v>
      </c>
      <c r="C133" s="3"/>
      <c r="D133" s="3" t="s">
        <v>243</v>
      </c>
      <c r="E133" s="3" t="s">
        <v>244</v>
      </c>
      <c r="F133" s="3" t="s">
        <v>56</v>
      </c>
      <c r="G133" s="3"/>
      <c r="H133" s="3" t="s">
        <v>952</v>
      </c>
      <c r="I133" s="3"/>
      <c r="J133" s="9" t="s">
        <v>60</v>
      </c>
      <c r="K133" s="9" t="s">
        <v>953</v>
      </c>
      <c r="L133" s="9" t="s">
        <v>954</v>
      </c>
      <c r="M133" s="9" t="s">
        <v>784</v>
      </c>
      <c r="N133" s="9">
        <v>0</v>
      </c>
      <c r="O133" s="3"/>
      <c r="P133" s="3"/>
      <c r="Q133" s="12" t="str">
        <f>HYPERLINK("https://drive.google.com/file/d/1hz8yzCzb7SeXBhexWfm1CjxRiJ2MnACE/view?usp=share_link","Buka Dokumen")</f>
        <v>Buka Dokumen</v>
      </c>
      <c r="R133" s="15" t="s">
        <v>955</v>
      </c>
    </row>
    <row r="134" spans="1:18" ht="126.75" customHeight="1">
      <c r="A134" s="6">
        <v>132</v>
      </c>
      <c r="B134" s="9" t="s">
        <v>776</v>
      </c>
      <c r="C134" s="3"/>
      <c r="D134" s="3" t="s">
        <v>956</v>
      </c>
      <c r="E134" s="3" t="s">
        <v>21</v>
      </c>
      <c r="F134" s="3" t="s">
        <v>56</v>
      </c>
      <c r="G134" s="3" t="s">
        <v>957</v>
      </c>
      <c r="H134" s="3" t="s">
        <v>958</v>
      </c>
      <c r="I134" s="3" t="s">
        <v>959</v>
      </c>
      <c r="J134" s="9" t="s">
        <v>39</v>
      </c>
      <c r="K134" s="9" t="s">
        <v>960</v>
      </c>
      <c r="L134" s="9" t="s">
        <v>961</v>
      </c>
      <c r="M134" s="9" t="s">
        <v>29</v>
      </c>
      <c r="N134" s="9">
        <v>0</v>
      </c>
      <c r="O134" s="3"/>
      <c r="P134" s="3"/>
      <c r="Q134" s="12" t="str">
        <f>HYPERLINK("https://drive.google.com/file/d/1P6_GJp4sSqydosLtceBqTJWPnoKK1DDg/view?usp=share_link","Buka Dokumen")</f>
        <v>Buka Dokumen</v>
      </c>
      <c r="R134" s="15" t="s">
        <v>962</v>
      </c>
    </row>
    <row r="135" spans="1:18" ht="126.75" customHeight="1">
      <c r="A135" s="6">
        <v>133</v>
      </c>
      <c r="B135" s="9" t="s">
        <v>776</v>
      </c>
      <c r="C135" s="3"/>
      <c r="D135" s="3" t="s">
        <v>963</v>
      </c>
      <c r="E135" s="3" t="s">
        <v>21</v>
      </c>
      <c r="F135" s="3" t="s">
        <v>56</v>
      </c>
      <c r="G135" s="3" t="s">
        <v>964</v>
      </c>
      <c r="H135" s="3" t="s">
        <v>965</v>
      </c>
      <c r="I135" s="3" t="s">
        <v>966</v>
      </c>
      <c r="J135" s="9" t="s">
        <v>60</v>
      </c>
      <c r="K135" s="9" t="s">
        <v>967</v>
      </c>
      <c r="L135" s="9" t="s">
        <v>968</v>
      </c>
      <c r="M135" s="9" t="s">
        <v>784</v>
      </c>
      <c r="N135" s="9">
        <v>0</v>
      </c>
      <c r="O135" s="3"/>
      <c r="P135" s="3"/>
      <c r="Q135" s="12" t="str">
        <f>HYPERLINK("https://drive.google.com/file/d/1toTwSEQLYHdnQoRFqlJc_h2PIx2Ev173/view?usp=share_link","Buka Dokumen")</f>
        <v>Buka Dokumen</v>
      </c>
      <c r="R135" s="15" t="s">
        <v>969</v>
      </c>
    </row>
    <row r="136" spans="1:18" ht="126.75" customHeight="1">
      <c r="A136" s="6">
        <v>134</v>
      </c>
      <c r="B136" s="9" t="s">
        <v>776</v>
      </c>
      <c r="C136" s="3"/>
      <c r="D136" s="3" t="s">
        <v>970</v>
      </c>
      <c r="E136" s="3" t="s">
        <v>21</v>
      </c>
      <c r="F136" s="3" t="s">
        <v>56</v>
      </c>
      <c r="G136" s="3" t="s">
        <v>971</v>
      </c>
      <c r="H136" s="3" t="s">
        <v>615</v>
      </c>
      <c r="I136" s="3" t="s">
        <v>972</v>
      </c>
      <c r="J136" s="9" t="s">
        <v>26</v>
      </c>
      <c r="K136" s="9" t="s">
        <v>973</v>
      </c>
      <c r="L136" s="9" t="s">
        <v>974</v>
      </c>
      <c r="M136" s="9" t="s">
        <v>29</v>
      </c>
      <c r="N136" s="9">
        <v>0</v>
      </c>
      <c r="O136" s="3"/>
      <c r="P136" s="3"/>
      <c r="Q136" s="12" t="str">
        <f>HYPERLINK("https://drive.google.com/file/d/1CBLuK75sRvWwbNDwLs37YVe3wNH_ffEk/view?usp=share_link","Buka Dokumen")</f>
        <v>Buka Dokumen</v>
      </c>
      <c r="R136" s="15" t="s">
        <v>975</v>
      </c>
    </row>
    <row r="137" spans="1:18" ht="126.75" customHeight="1">
      <c r="A137" s="6">
        <v>135</v>
      </c>
      <c r="B137" s="9" t="s">
        <v>976</v>
      </c>
      <c r="C137" s="3"/>
      <c r="D137" s="3" t="s">
        <v>977</v>
      </c>
      <c r="E137" s="3" t="s">
        <v>55</v>
      </c>
      <c r="F137" s="3" t="s">
        <v>823</v>
      </c>
      <c r="G137" s="3" t="s">
        <v>978</v>
      </c>
      <c r="H137" s="3" t="s">
        <v>979</v>
      </c>
      <c r="I137" s="3" t="s">
        <v>980</v>
      </c>
      <c r="J137" s="9" t="s">
        <v>26</v>
      </c>
      <c r="K137" s="9" t="s">
        <v>981</v>
      </c>
      <c r="L137" s="9" t="s">
        <v>982</v>
      </c>
      <c r="M137" s="9" t="s">
        <v>29</v>
      </c>
      <c r="N137" s="9">
        <v>0</v>
      </c>
      <c r="O137" s="3"/>
      <c r="P137" s="3"/>
      <c r="Q137" s="12" t="str">
        <f>HYPERLINK("https://drive.google.com/file/d/1oWYNZ0XKVaMabDZ1PUbpdKUGoaHxLLRS/view?usp=share_link","Buka Dokumen")</f>
        <v>Buka Dokumen</v>
      </c>
      <c r="R137" s="15" t="s">
        <v>983</v>
      </c>
    </row>
    <row r="138" spans="1:18" ht="126.75" customHeight="1">
      <c r="A138" s="6">
        <v>136</v>
      </c>
      <c r="B138" s="9" t="s">
        <v>976</v>
      </c>
      <c r="C138" s="3"/>
      <c r="D138" s="3" t="s">
        <v>984</v>
      </c>
      <c r="E138" s="3" t="s">
        <v>55</v>
      </c>
      <c r="F138" s="3" t="s">
        <v>630</v>
      </c>
      <c r="G138" s="3" t="s">
        <v>985</v>
      </c>
      <c r="H138" s="3" t="s">
        <v>986</v>
      </c>
      <c r="I138" s="3" t="s">
        <v>987</v>
      </c>
      <c r="J138" s="9" t="s">
        <v>60</v>
      </c>
      <c r="K138" s="9" t="s">
        <v>988</v>
      </c>
      <c r="L138" s="9" t="s">
        <v>989</v>
      </c>
      <c r="M138" s="9" t="s">
        <v>784</v>
      </c>
      <c r="N138" s="9">
        <v>0</v>
      </c>
      <c r="O138" s="3"/>
      <c r="P138" s="3"/>
      <c r="Q138" s="12" t="str">
        <f>HYPERLINK("https://drive.google.com/file/d/1urKeunVapMoF3uW3ONnGylIHc-52RZ34/view?usp=drive_link","Buka Dokumen")</f>
        <v>Buka Dokumen</v>
      </c>
      <c r="R138" s="15" t="s">
        <v>990</v>
      </c>
    </row>
    <row r="139" spans="1:18" ht="126.75" customHeight="1">
      <c r="A139" s="6">
        <v>137</v>
      </c>
      <c r="B139" s="9" t="s">
        <v>976</v>
      </c>
      <c r="C139" s="3"/>
      <c r="D139" s="3" t="s">
        <v>991</v>
      </c>
      <c r="E139" s="3" t="s">
        <v>55</v>
      </c>
      <c r="F139" s="3" t="s">
        <v>992</v>
      </c>
      <c r="G139" s="3" t="s">
        <v>993</v>
      </c>
      <c r="H139" s="3" t="s">
        <v>994</v>
      </c>
      <c r="I139" s="3" t="s">
        <v>995</v>
      </c>
      <c r="J139" s="9" t="s">
        <v>26</v>
      </c>
      <c r="K139" s="9" t="s">
        <v>996</v>
      </c>
      <c r="L139" s="9" t="s">
        <v>997</v>
      </c>
      <c r="M139" s="9" t="s">
        <v>29</v>
      </c>
      <c r="N139" s="9">
        <v>0</v>
      </c>
      <c r="O139" s="3"/>
      <c r="P139" s="3"/>
      <c r="Q139" s="12" t="str">
        <f>HYPERLINK("https://drive.google.com/file/d/1MqwQxqIhfy7OtpP6mKZfa33Uya6t1bwR/view?usp=drive_link","Buka Dokumen")</f>
        <v>Buka Dokumen</v>
      </c>
      <c r="R139" s="15" t="s">
        <v>998</v>
      </c>
    </row>
    <row r="140" spans="1:18" ht="126.75" customHeight="1">
      <c r="A140" s="6">
        <v>138</v>
      </c>
      <c r="B140" s="9" t="s">
        <v>976</v>
      </c>
      <c r="C140" s="3"/>
      <c r="D140" s="3" t="s">
        <v>999</v>
      </c>
      <c r="E140" s="3" t="s">
        <v>55</v>
      </c>
      <c r="F140" s="3" t="s">
        <v>992</v>
      </c>
      <c r="G140" s="3" t="s">
        <v>1000</v>
      </c>
      <c r="H140" s="3" t="s">
        <v>1001</v>
      </c>
      <c r="I140" s="3" t="s">
        <v>1002</v>
      </c>
      <c r="J140" s="9" t="s">
        <v>60</v>
      </c>
      <c r="K140" s="9" t="s">
        <v>1003</v>
      </c>
      <c r="L140" s="9" t="s">
        <v>1004</v>
      </c>
      <c r="M140" s="9" t="s">
        <v>784</v>
      </c>
      <c r="N140" s="9">
        <v>0</v>
      </c>
      <c r="O140" s="3"/>
      <c r="P140" s="3"/>
      <c r="Q140" s="12" t="str">
        <f>HYPERLINK("https://drive.google.com/file/d/1DEuAdnNORt8SFRIi4cSDrVAnsv7mlpg2/view?usp=drive_link","Buka Dokumen")</f>
        <v>Buka Dokumen</v>
      </c>
      <c r="R140" s="15" t="s">
        <v>1005</v>
      </c>
    </row>
    <row r="141" spans="1:18" ht="126.75" customHeight="1">
      <c r="A141" s="6">
        <v>139</v>
      </c>
      <c r="B141" s="9" t="s">
        <v>976</v>
      </c>
      <c r="C141" s="3"/>
      <c r="D141" s="3" t="s">
        <v>1006</v>
      </c>
      <c r="E141" s="3" t="s">
        <v>55</v>
      </c>
      <c r="F141" s="3" t="s">
        <v>778</v>
      </c>
      <c r="G141" s="3" t="s">
        <v>1007</v>
      </c>
      <c r="H141" s="3" t="s">
        <v>1008</v>
      </c>
      <c r="I141" s="3" t="s">
        <v>1009</v>
      </c>
      <c r="J141" s="9" t="s">
        <v>26</v>
      </c>
      <c r="K141" s="9" t="s">
        <v>1010</v>
      </c>
      <c r="L141" s="9" t="s">
        <v>1011</v>
      </c>
      <c r="M141" s="9" t="s">
        <v>29</v>
      </c>
      <c r="N141" s="9">
        <v>0</v>
      </c>
      <c r="O141" s="3"/>
      <c r="P141" s="3"/>
      <c r="Q141" s="12" t="str">
        <f>HYPERLINK("https://drive.google.com/file/d/1Gl6nbsrm4wy61j1xKloHun2XSF97UyfA/view?usp=share_link","Buka Dokumen")</f>
        <v>Buka Dokumen</v>
      </c>
      <c r="R141" s="15" t="s">
        <v>1012</v>
      </c>
    </row>
    <row r="142" spans="1:18" ht="126.75" customHeight="1">
      <c r="A142" s="6">
        <v>140</v>
      </c>
      <c r="B142" s="9" t="s">
        <v>976</v>
      </c>
      <c r="C142" s="3"/>
      <c r="D142" s="3" t="s">
        <v>1013</v>
      </c>
      <c r="E142" s="3" t="s">
        <v>35</v>
      </c>
      <c r="F142" s="3" t="s">
        <v>1014</v>
      </c>
      <c r="G142" s="3" t="s">
        <v>1015</v>
      </c>
      <c r="H142" s="3" t="s">
        <v>1016</v>
      </c>
      <c r="I142" s="3" t="s">
        <v>1017</v>
      </c>
      <c r="J142" s="9" t="s">
        <v>26</v>
      </c>
      <c r="K142" s="9" t="s">
        <v>1018</v>
      </c>
      <c r="L142" s="9" t="s">
        <v>1019</v>
      </c>
      <c r="M142" s="9" t="s">
        <v>29</v>
      </c>
      <c r="N142" s="9">
        <v>0</v>
      </c>
      <c r="O142" s="3"/>
      <c r="P142" s="3"/>
      <c r="Q142" s="12" t="str">
        <f>HYPERLINK("https://drive.google.com/file/d/1zczjeRxH7m288CnspwRp3s4dIsxp_j6n/view?usp=share_link","Buka Dokumen")</f>
        <v>Buka Dokumen</v>
      </c>
      <c r="R142" s="15" t="s">
        <v>1020</v>
      </c>
    </row>
    <row r="143" spans="1:18" ht="126.75" customHeight="1">
      <c r="A143" s="6">
        <v>141</v>
      </c>
      <c r="B143" s="9" t="s">
        <v>976</v>
      </c>
      <c r="C143" s="3"/>
      <c r="D143" s="3" t="s">
        <v>1021</v>
      </c>
      <c r="E143" s="3" t="s">
        <v>35</v>
      </c>
      <c r="F143" s="3" t="s">
        <v>1014</v>
      </c>
      <c r="G143" s="3" t="s">
        <v>1022</v>
      </c>
      <c r="H143" s="3" t="s">
        <v>1023</v>
      </c>
      <c r="I143" s="3" t="s">
        <v>1024</v>
      </c>
      <c r="J143" s="9" t="s">
        <v>1025</v>
      </c>
      <c r="K143" s="9" t="s">
        <v>1018</v>
      </c>
      <c r="L143" s="9" t="s">
        <v>818</v>
      </c>
      <c r="M143" s="9" t="s">
        <v>1026</v>
      </c>
      <c r="N143" s="9">
        <v>0</v>
      </c>
      <c r="O143" s="3"/>
      <c r="P143" s="3"/>
      <c r="Q143" s="12" t="str">
        <f>HYPERLINK("https://drive.google.com/file/d/1XZczQFfr0XDZSXaMm9OvDgUUXLQzX3cZ/view?usp=share_link","Buka Dokumen")</f>
        <v>Buka Dokumen</v>
      </c>
      <c r="R143" s="15" t="s">
        <v>1027</v>
      </c>
    </row>
    <row r="144" spans="1:18" ht="126.75" customHeight="1">
      <c r="A144" s="6">
        <v>142</v>
      </c>
      <c r="B144" s="9" t="s">
        <v>976</v>
      </c>
      <c r="C144" s="3"/>
      <c r="D144" s="3" t="s">
        <v>1028</v>
      </c>
      <c r="E144" s="3" t="s">
        <v>55</v>
      </c>
      <c r="F144" s="3" t="s">
        <v>1014</v>
      </c>
      <c r="G144" s="3" t="s">
        <v>1029</v>
      </c>
      <c r="H144" s="3" t="s">
        <v>1030</v>
      </c>
      <c r="I144" s="3" t="s">
        <v>1031</v>
      </c>
      <c r="J144" s="9" t="s">
        <v>60</v>
      </c>
      <c r="K144" s="9" t="s">
        <v>1018</v>
      </c>
      <c r="L144" s="9" t="s">
        <v>1032</v>
      </c>
      <c r="M144" s="9" t="s">
        <v>784</v>
      </c>
      <c r="N144" s="9">
        <v>0</v>
      </c>
      <c r="O144" s="3"/>
      <c r="P144" s="3"/>
      <c r="Q144" s="12" t="str">
        <f>HYPERLINK("https://drive.google.com/file/d/1xLBSkscQz14Tlx9QtolWGjmsrUiYpHpW/view?usp=share_link","Buka Dokumen")</f>
        <v>Buka Dokumen</v>
      </c>
      <c r="R144" s="15" t="s">
        <v>1033</v>
      </c>
    </row>
    <row r="145" spans="1:18" ht="126.75" customHeight="1">
      <c r="A145" s="6">
        <v>143</v>
      </c>
      <c r="B145" s="9" t="s">
        <v>976</v>
      </c>
      <c r="C145" s="3"/>
      <c r="D145" s="3" t="s">
        <v>1034</v>
      </c>
      <c r="E145" s="3" t="s">
        <v>21</v>
      </c>
      <c r="F145" s="3" t="s">
        <v>453</v>
      </c>
      <c r="G145" s="3" t="s">
        <v>1035</v>
      </c>
      <c r="H145" s="3" t="s">
        <v>1036</v>
      </c>
      <c r="I145" s="3"/>
      <c r="J145" s="9" t="s">
        <v>1025</v>
      </c>
      <c r="K145" s="9" t="s">
        <v>1037</v>
      </c>
      <c r="L145" s="9" t="s">
        <v>1038</v>
      </c>
      <c r="M145" s="9" t="s">
        <v>784</v>
      </c>
      <c r="N145" s="9">
        <v>0</v>
      </c>
      <c r="O145" s="3"/>
      <c r="P145" s="3"/>
      <c r="Q145" s="12" t="str">
        <f>HYPERLINK("https://drive.google.com/file/d/1J_pP4qsXN-WJFXJOm5RJqlGm5o-4Dbis/view?usp=share_link","Buka Dokumen")</f>
        <v>Buka Dokumen</v>
      </c>
      <c r="R145" s="15" t="s">
        <v>1039</v>
      </c>
    </row>
    <row r="146" spans="1:18" ht="126.75" customHeight="1">
      <c r="A146" s="6">
        <v>144</v>
      </c>
      <c r="B146" s="9" t="s">
        <v>976</v>
      </c>
      <c r="C146" s="3"/>
      <c r="D146" s="3"/>
      <c r="E146" s="3" t="s">
        <v>21</v>
      </c>
      <c r="F146" s="3"/>
      <c r="G146" s="3"/>
      <c r="H146" s="3"/>
      <c r="I146" s="3"/>
      <c r="J146" s="9"/>
      <c r="K146" s="9"/>
      <c r="L146" s="9"/>
      <c r="M146" s="9"/>
      <c r="N146" s="9">
        <v>0</v>
      </c>
      <c r="O146" s="3"/>
      <c r="P146" s="3"/>
      <c r="Q146" s="12" t="s">
        <v>198</v>
      </c>
      <c r="R146" s="15"/>
    </row>
    <row r="147" spans="1:18" ht="126.75" customHeight="1">
      <c r="A147" s="6">
        <v>145</v>
      </c>
      <c r="B147" s="9" t="s">
        <v>976</v>
      </c>
      <c r="C147" s="3"/>
      <c r="D147" s="3" t="s">
        <v>1040</v>
      </c>
      <c r="E147" s="3" t="s">
        <v>21</v>
      </c>
      <c r="F147" s="3" t="s">
        <v>22</v>
      </c>
      <c r="G147" s="3" t="s">
        <v>1041</v>
      </c>
      <c r="H147" s="3" t="s">
        <v>1042</v>
      </c>
      <c r="I147" s="3" t="s">
        <v>1043</v>
      </c>
      <c r="J147" s="9" t="s">
        <v>39</v>
      </c>
      <c r="K147" s="9" t="s">
        <v>1044</v>
      </c>
      <c r="L147" s="9" t="s">
        <v>1045</v>
      </c>
      <c r="M147" s="9" t="s">
        <v>784</v>
      </c>
      <c r="N147" s="9">
        <v>0</v>
      </c>
      <c r="O147" s="3"/>
      <c r="P147" s="3"/>
      <c r="Q147" s="12" t="str">
        <f>HYPERLINK("https://drive.google.com/file/d/1aDlcZly8mn2w4hoAw6zN6FKlw7nzkbJN/view?usp=share_link","Buka Dokumen")</f>
        <v>Buka Dokumen</v>
      </c>
      <c r="R147" s="15" t="s">
        <v>1046</v>
      </c>
    </row>
    <row r="148" spans="1:18" ht="126.75" customHeight="1">
      <c r="A148" s="6">
        <v>146</v>
      </c>
      <c r="B148" s="9" t="s">
        <v>976</v>
      </c>
      <c r="C148" s="3"/>
      <c r="D148" s="3" t="s">
        <v>1047</v>
      </c>
      <c r="E148" s="3" t="s">
        <v>21</v>
      </c>
      <c r="F148" s="3" t="s">
        <v>56</v>
      </c>
      <c r="G148" s="3" t="s">
        <v>1048</v>
      </c>
      <c r="H148" s="3" t="s">
        <v>1049</v>
      </c>
      <c r="I148" s="3" t="s">
        <v>1050</v>
      </c>
      <c r="J148" s="9" t="s">
        <v>60</v>
      </c>
      <c r="K148" s="9" t="s">
        <v>1051</v>
      </c>
      <c r="L148" s="9" t="s">
        <v>1052</v>
      </c>
      <c r="M148" s="9" t="s">
        <v>784</v>
      </c>
      <c r="N148" s="9">
        <v>0</v>
      </c>
      <c r="O148" s="3"/>
      <c r="P148" s="3"/>
      <c r="Q148" s="12" t="str">
        <f>HYPERLINK("https://drive.google.com/file/d/1xlPc8evlboW1OjJ8EXuA1je98Z5Cam_g/view?usp=share_link","Buka Dokumen")</f>
        <v>Buka Dokumen</v>
      </c>
      <c r="R148" s="15" t="s">
        <v>1053</v>
      </c>
    </row>
    <row r="149" spans="1:18" ht="126.75" customHeight="1">
      <c r="A149" s="6">
        <v>147</v>
      </c>
      <c r="B149" s="9" t="s">
        <v>976</v>
      </c>
      <c r="C149" s="3"/>
      <c r="D149" s="3" t="s">
        <v>1054</v>
      </c>
      <c r="E149" s="3" t="s">
        <v>21</v>
      </c>
      <c r="F149" s="3" t="s">
        <v>56</v>
      </c>
      <c r="G149" s="3" t="s">
        <v>1055</v>
      </c>
      <c r="H149" s="3" t="s">
        <v>1056</v>
      </c>
      <c r="I149" s="3" t="s">
        <v>1057</v>
      </c>
      <c r="J149" s="9" t="s">
        <v>26</v>
      </c>
      <c r="K149" s="9" t="s">
        <v>981</v>
      </c>
      <c r="L149" s="9" t="s">
        <v>982</v>
      </c>
      <c r="M149" s="9" t="s">
        <v>29</v>
      </c>
      <c r="N149" s="9">
        <v>0</v>
      </c>
      <c r="O149" s="3"/>
      <c r="P149" s="3"/>
      <c r="Q149" s="12" t="str">
        <f>HYPERLINK("https://drive.google.com/file/d/1T4f0PfPMyC59InouQ0557sHedFvEzSlI/view?usp=share_link","Buka Dokumen")</f>
        <v>Buka Dokumen</v>
      </c>
      <c r="R149" s="15" t="s">
        <v>1058</v>
      </c>
    </row>
    <row r="150" spans="1:18" ht="126.75" customHeight="1">
      <c r="A150" s="6">
        <v>148</v>
      </c>
      <c r="B150" s="9" t="s">
        <v>976</v>
      </c>
      <c r="C150" s="3"/>
      <c r="D150" s="3" t="s">
        <v>1059</v>
      </c>
      <c r="E150" s="3" t="s">
        <v>35</v>
      </c>
      <c r="F150" s="3" t="s">
        <v>56</v>
      </c>
      <c r="G150" s="3" t="s">
        <v>1060</v>
      </c>
      <c r="H150" s="3" t="s">
        <v>1061</v>
      </c>
      <c r="I150" s="3" t="s">
        <v>1062</v>
      </c>
      <c r="J150" s="9" t="s">
        <v>26</v>
      </c>
      <c r="K150" s="9" t="s">
        <v>1063</v>
      </c>
      <c r="L150" s="9" t="s">
        <v>1064</v>
      </c>
      <c r="M150" s="9" t="s">
        <v>29</v>
      </c>
      <c r="N150" s="9">
        <v>0</v>
      </c>
      <c r="O150" s="3"/>
      <c r="P150" s="3"/>
      <c r="Q150" s="12" t="str">
        <f>HYPERLINK("https://drive.google.com/file/d/1y3BVHNZxkIPN3fqC7v83rcXFR1x6le4T/view?usp=share_link","Buka Dokumen")</f>
        <v>Buka Dokumen</v>
      </c>
      <c r="R150" s="15" t="s">
        <v>1065</v>
      </c>
    </row>
    <row r="151" spans="1:18" ht="126.75" customHeight="1">
      <c r="A151" s="6">
        <v>149</v>
      </c>
      <c r="B151" s="9" t="s">
        <v>976</v>
      </c>
      <c r="C151" s="3"/>
      <c r="D151" s="3" t="s">
        <v>1066</v>
      </c>
      <c r="E151" s="3" t="s">
        <v>55</v>
      </c>
      <c r="F151" s="3" t="s">
        <v>56</v>
      </c>
      <c r="G151" s="3" t="s">
        <v>1067</v>
      </c>
      <c r="H151" s="3" t="s">
        <v>1068</v>
      </c>
      <c r="I151" s="3" t="s">
        <v>1069</v>
      </c>
      <c r="J151" s="9" t="s">
        <v>26</v>
      </c>
      <c r="K151" s="9" t="s">
        <v>1070</v>
      </c>
      <c r="L151" s="9" t="s">
        <v>1071</v>
      </c>
      <c r="M151" s="9" t="s">
        <v>29</v>
      </c>
      <c r="N151" s="9">
        <v>0</v>
      </c>
      <c r="O151" s="3"/>
      <c r="P151" s="3"/>
      <c r="Q151" s="12" t="str">
        <f>HYPERLINK("https://drive.google.com/file/d/16gzUexZxyjEcnMQtdW7qh-G7enq_AfyK/view?usp=share_link","Buka Dokumen")</f>
        <v>Buka Dokumen</v>
      </c>
      <c r="R151" s="15" t="s">
        <v>1072</v>
      </c>
    </row>
    <row r="152" spans="1:18" ht="126.75" customHeight="1">
      <c r="A152" s="6">
        <v>150</v>
      </c>
      <c r="B152" s="9" t="s">
        <v>976</v>
      </c>
      <c r="C152" s="3"/>
      <c r="D152" s="3" t="s">
        <v>1073</v>
      </c>
      <c r="E152" s="3" t="s">
        <v>55</v>
      </c>
      <c r="F152" s="3" t="s">
        <v>56</v>
      </c>
      <c r="G152" s="3" t="s">
        <v>1074</v>
      </c>
      <c r="H152" s="3" t="s">
        <v>1075</v>
      </c>
      <c r="I152" s="3"/>
      <c r="J152" s="9" t="s">
        <v>39</v>
      </c>
      <c r="K152" s="9" t="s">
        <v>1076</v>
      </c>
      <c r="L152" s="9" t="s">
        <v>1077</v>
      </c>
      <c r="M152" s="9" t="s">
        <v>29</v>
      </c>
      <c r="N152" s="9">
        <v>0</v>
      </c>
      <c r="O152" s="3"/>
      <c r="P152" s="3"/>
      <c r="Q152" s="12" t="str">
        <f>HYPERLINK("https://drive.google.com/file/d/1733315g6K9dXhFxXhbvavVJQz0nVbhcb/view?usp=share_link","Buka Dokumen")</f>
        <v>Buka Dokumen</v>
      </c>
      <c r="R152" s="15" t="s">
        <v>1078</v>
      </c>
    </row>
    <row r="153" spans="1:18" ht="126.75" customHeight="1">
      <c r="A153" s="6">
        <v>151</v>
      </c>
      <c r="B153" s="9" t="s">
        <v>976</v>
      </c>
      <c r="C153" s="3"/>
      <c r="D153" s="3" t="s">
        <v>1073</v>
      </c>
      <c r="E153" s="3" t="s">
        <v>55</v>
      </c>
      <c r="F153" s="3" t="s">
        <v>56</v>
      </c>
      <c r="G153" s="3" t="s">
        <v>1079</v>
      </c>
      <c r="H153" s="3" t="s">
        <v>1075</v>
      </c>
      <c r="I153" s="3"/>
      <c r="J153" s="9" t="s">
        <v>26</v>
      </c>
      <c r="K153" s="9" t="s">
        <v>1076</v>
      </c>
      <c r="L153" s="9" t="s">
        <v>1080</v>
      </c>
      <c r="M153" s="9" t="s">
        <v>29</v>
      </c>
      <c r="N153" s="9">
        <v>0</v>
      </c>
      <c r="O153" s="3"/>
      <c r="P153" s="3"/>
      <c r="Q153" s="12" t="str">
        <f>HYPERLINK("https://drive.google.com/file/d/1Toj0gJx3-C2fqeoimjUDyX8KsN-EA4UH/view?usp=share_link","Buka Dokumen")</f>
        <v>Buka Dokumen</v>
      </c>
      <c r="R153" s="15" t="s">
        <v>1081</v>
      </c>
    </row>
    <row r="154" spans="1:18" ht="126.75" customHeight="1">
      <c r="A154" s="6">
        <v>152</v>
      </c>
      <c r="B154" s="9" t="s">
        <v>976</v>
      </c>
      <c r="C154" s="3"/>
      <c r="D154" s="3" t="s">
        <v>1006</v>
      </c>
      <c r="E154" s="3" t="s">
        <v>55</v>
      </c>
      <c r="F154" s="3" t="s">
        <v>56</v>
      </c>
      <c r="G154" s="3" t="s">
        <v>1082</v>
      </c>
      <c r="H154" s="3" t="s">
        <v>1083</v>
      </c>
      <c r="I154" s="3" t="s">
        <v>1084</v>
      </c>
      <c r="J154" s="9" t="s">
        <v>26</v>
      </c>
      <c r="K154" s="9" t="s">
        <v>1076</v>
      </c>
      <c r="L154" s="9" t="s">
        <v>1080</v>
      </c>
      <c r="M154" s="9" t="s">
        <v>29</v>
      </c>
      <c r="N154" s="9">
        <v>0</v>
      </c>
      <c r="O154" s="3"/>
      <c r="P154" s="3"/>
      <c r="Q154" s="12" t="str">
        <f>HYPERLINK("https://drive.google.com/file/d/1-CKs57dL5FSK1hlj07Yex-LwM--6H4k-/view?usp=share_link","Buka Dokumen")</f>
        <v>Buka Dokumen</v>
      </c>
      <c r="R154" s="15" t="s">
        <v>1085</v>
      </c>
    </row>
    <row r="155" spans="1:18" ht="126.75" customHeight="1">
      <c r="A155" s="6">
        <v>153</v>
      </c>
      <c r="B155" s="9" t="s">
        <v>1086</v>
      </c>
      <c r="C155" s="3"/>
      <c r="D155" s="3" t="s">
        <v>1087</v>
      </c>
      <c r="E155" s="3" t="s">
        <v>55</v>
      </c>
      <c r="F155" s="3" t="s">
        <v>1088</v>
      </c>
      <c r="G155" s="3"/>
      <c r="H155" s="3" t="s">
        <v>1089</v>
      </c>
      <c r="I155" s="3"/>
      <c r="J155" s="9" t="s">
        <v>26</v>
      </c>
      <c r="K155" s="9" t="s">
        <v>1090</v>
      </c>
      <c r="L155" s="9" t="s">
        <v>1091</v>
      </c>
      <c r="M155" s="9" t="s">
        <v>784</v>
      </c>
      <c r="N155" s="9">
        <v>0</v>
      </c>
      <c r="O155" s="3"/>
      <c r="P155" s="3"/>
      <c r="Q155" s="12" t="str">
        <f>HYPERLINK("https://drive.google.com/file/d/1v8AtoziXmmF1WRvqBYTbL0E2d9HP1sRi/view?usp=drive_link","Buka Dokumen")</f>
        <v>Buka Dokumen</v>
      </c>
      <c r="R155" s="15" t="s">
        <v>1092</v>
      </c>
    </row>
    <row r="156" spans="1:18" ht="126.75" customHeight="1">
      <c r="A156" s="6">
        <v>154</v>
      </c>
      <c r="B156" s="9" t="s">
        <v>1086</v>
      </c>
      <c r="C156" s="3"/>
      <c r="D156" s="3" t="s">
        <v>1093</v>
      </c>
      <c r="E156" s="3" t="s">
        <v>55</v>
      </c>
      <c r="F156" s="3" t="s">
        <v>1094</v>
      </c>
      <c r="G156" s="3" t="s">
        <v>1095</v>
      </c>
      <c r="H156" s="3" t="s">
        <v>1014</v>
      </c>
      <c r="I156" s="3" t="s">
        <v>1096</v>
      </c>
      <c r="J156" s="9" t="s">
        <v>26</v>
      </c>
      <c r="K156" s="9" t="s">
        <v>1097</v>
      </c>
      <c r="L156" s="9" t="s">
        <v>1098</v>
      </c>
      <c r="M156" s="9" t="s">
        <v>784</v>
      </c>
      <c r="N156" s="9">
        <v>0</v>
      </c>
      <c r="O156" s="3"/>
      <c r="P156" s="3"/>
      <c r="Q156" s="12" t="str">
        <f>HYPERLINK("https://drive.google.com/file/d/1coqP9fUgxH2nNyrw9EFG13k7kWrUVOIj/view?usp=drive_link","Buka Dokumen")</f>
        <v>Buka Dokumen</v>
      </c>
      <c r="R156" s="15" t="s">
        <v>1099</v>
      </c>
    </row>
    <row r="157" spans="1:18" ht="126.75" customHeight="1">
      <c r="A157" s="6">
        <v>155</v>
      </c>
      <c r="B157" s="9" t="s">
        <v>1086</v>
      </c>
      <c r="C157" s="3"/>
      <c r="D157" s="3" t="s">
        <v>1100</v>
      </c>
      <c r="E157" s="3" t="s">
        <v>55</v>
      </c>
      <c r="F157" s="3" t="s">
        <v>1101</v>
      </c>
      <c r="G157" s="3" t="s">
        <v>1102</v>
      </c>
      <c r="H157" s="3" t="s">
        <v>1103</v>
      </c>
      <c r="I157" s="3" t="s">
        <v>1104</v>
      </c>
      <c r="J157" s="9" t="s">
        <v>420</v>
      </c>
      <c r="K157" s="9" t="s">
        <v>1105</v>
      </c>
      <c r="L157" s="9" t="s">
        <v>788</v>
      </c>
      <c r="M157" s="9" t="s">
        <v>784</v>
      </c>
      <c r="N157" s="9">
        <v>0</v>
      </c>
      <c r="O157" s="3"/>
      <c r="P157" s="3"/>
      <c r="Q157" s="12" t="str">
        <f>HYPERLINK("https://drive.google.com/file/d/1k0oiY53QMRzH0xzmUaoMW4oddpsA_Qnh/view?usp=drive_link","Buka Dokumen")</f>
        <v>Buka Dokumen</v>
      </c>
      <c r="R157" s="15" t="s">
        <v>1106</v>
      </c>
    </row>
    <row r="158" spans="1:18" ht="126.75" customHeight="1">
      <c r="A158" s="6">
        <v>156</v>
      </c>
      <c r="B158" s="9" t="s">
        <v>1086</v>
      </c>
      <c r="C158" s="3"/>
      <c r="D158" s="3" t="s">
        <v>1107</v>
      </c>
      <c r="E158" s="3" t="s">
        <v>55</v>
      </c>
      <c r="F158" s="3" t="s">
        <v>1108</v>
      </c>
      <c r="G158" s="3"/>
      <c r="H158" s="3" t="s">
        <v>1109</v>
      </c>
      <c r="I158" s="3" t="s">
        <v>1110</v>
      </c>
      <c r="J158" s="9"/>
      <c r="K158" s="9" t="s">
        <v>1111</v>
      </c>
      <c r="L158" s="9" t="s">
        <v>1112</v>
      </c>
      <c r="M158" s="9" t="s">
        <v>784</v>
      </c>
      <c r="N158" s="9">
        <v>0</v>
      </c>
      <c r="O158" s="3"/>
      <c r="P158" s="3"/>
      <c r="Q158" s="12" t="str">
        <f>HYPERLINK("https://drive.google.com/file/d/122-oRSs0VTtXGvq6NllJbHWhrbwLQzpp/view?usp=drive_link","Buka Dokumen")</f>
        <v>Buka Dokumen</v>
      </c>
      <c r="R158" s="15" t="s">
        <v>1113</v>
      </c>
    </row>
    <row r="159" spans="1:18" ht="126.75" customHeight="1">
      <c r="A159" s="6">
        <v>157</v>
      </c>
      <c r="B159" s="9" t="s">
        <v>1086</v>
      </c>
      <c r="C159" s="3"/>
      <c r="D159" s="3" t="s">
        <v>1114</v>
      </c>
      <c r="E159" s="3" t="s">
        <v>35</v>
      </c>
      <c r="F159" s="3" t="s">
        <v>1115</v>
      </c>
      <c r="G159" s="3" t="s">
        <v>1116</v>
      </c>
      <c r="H159" s="3" t="s">
        <v>22</v>
      </c>
      <c r="I159" s="3" t="s">
        <v>1117</v>
      </c>
      <c r="J159" s="9" t="s">
        <v>26</v>
      </c>
      <c r="K159" s="9" t="s">
        <v>1118</v>
      </c>
      <c r="L159" s="9" t="s">
        <v>359</v>
      </c>
      <c r="M159" s="9" t="s">
        <v>784</v>
      </c>
      <c r="N159" s="9">
        <v>0</v>
      </c>
      <c r="O159" s="3"/>
      <c r="P159" s="3"/>
      <c r="Q159" s="12" t="str">
        <f>HYPERLINK("https://drive.google.com/file/d/1LaXHYImTYUHOynssS1rNe6R4zHx_CP5K/view?usp=drive_link","Buka Dokumen")</f>
        <v>Buka Dokumen</v>
      </c>
      <c r="R159" s="15" t="s">
        <v>1119</v>
      </c>
    </row>
    <row r="160" spans="1:18" ht="126.75" customHeight="1">
      <c r="A160" s="6">
        <v>158</v>
      </c>
      <c r="B160" s="9" t="s">
        <v>1086</v>
      </c>
      <c r="C160" s="3"/>
      <c r="D160" s="3" t="s">
        <v>1120</v>
      </c>
      <c r="E160" s="3" t="s">
        <v>55</v>
      </c>
      <c r="F160" s="3" t="s">
        <v>1121</v>
      </c>
      <c r="G160" s="3" t="s">
        <v>1122</v>
      </c>
      <c r="H160" s="3" t="s">
        <v>1123</v>
      </c>
      <c r="I160" s="3" t="s">
        <v>1124</v>
      </c>
      <c r="J160" s="9"/>
      <c r="K160" s="9" t="s">
        <v>1125</v>
      </c>
      <c r="L160" s="9"/>
      <c r="M160" s="9" t="s">
        <v>29</v>
      </c>
      <c r="N160" s="9">
        <v>0</v>
      </c>
      <c r="O160" s="3"/>
      <c r="P160" s="3"/>
      <c r="Q160" s="12" t="str">
        <f>HYPERLINK("https://drive.google.com/file/d/1wP2Fw2yRAZpNZi-XaSfK9NkSwrAQTgyF/view?usp=drive_link","Buka Dokumen")</f>
        <v>Buka Dokumen</v>
      </c>
      <c r="R160" s="15" t="s">
        <v>1126</v>
      </c>
    </row>
    <row r="161" spans="1:18" ht="126.75" customHeight="1">
      <c r="A161" s="6">
        <v>159</v>
      </c>
      <c r="B161" s="9" t="s">
        <v>1086</v>
      </c>
      <c r="C161" s="3"/>
      <c r="D161" s="3" t="s">
        <v>1127</v>
      </c>
      <c r="E161" s="3" t="s">
        <v>55</v>
      </c>
      <c r="F161" s="3" t="s">
        <v>1128</v>
      </c>
      <c r="G161" s="3" t="s">
        <v>1129</v>
      </c>
      <c r="H161" s="3" t="s">
        <v>1130</v>
      </c>
      <c r="I161" s="3" t="s">
        <v>1131</v>
      </c>
      <c r="J161" s="9" t="s">
        <v>60</v>
      </c>
      <c r="K161" s="9" t="s">
        <v>1132</v>
      </c>
      <c r="L161" s="9" t="s">
        <v>1133</v>
      </c>
      <c r="M161" s="9" t="s">
        <v>784</v>
      </c>
      <c r="N161" s="9">
        <v>0</v>
      </c>
      <c r="O161" s="3"/>
      <c r="P161" s="3"/>
      <c r="Q161" s="12" t="str">
        <f>HYPERLINK("https://drive.google.com/file/d/1iJuh-EovQyCVVQEAl3CEfLEo64wANsVU/view?usp=drive_link","Buka Dokumen")</f>
        <v>Buka Dokumen</v>
      </c>
      <c r="R161" s="15" t="s">
        <v>1134</v>
      </c>
    </row>
    <row r="162" spans="1:18" ht="126.75" customHeight="1">
      <c r="A162" s="6">
        <v>160</v>
      </c>
      <c r="B162" s="9" t="s">
        <v>1086</v>
      </c>
      <c r="C162" s="3"/>
      <c r="D162" s="3" t="s">
        <v>1135</v>
      </c>
      <c r="E162" s="3" t="s">
        <v>55</v>
      </c>
      <c r="F162" s="3" t="s">
        <v>1135</v>
      </c>
      <c r="G162" s="3" t="s">
        <v>1136</v>
      </c>
      <c r="H162" s="3" t="s">
        <v>56</v>
      </c>
      <c r="I162" s="3" t="s">
        <v>1137</v>
      </c>
      <c r="J162" s="9" t="s">
        <v>26</v>
      </c>
      <c r="K162" s="9" t="s">
        <v>1138</v>
      </c>
      <c r="L162" s="9" t="s">
        <v>1139</v>
      </c>
      <c r="M162" s="9" t="s">
        <v>784</v>
      </c>
      <c r="N162" s="9">
        <v>0</v>
      </c>
      <c r="O162" s="3"/>
      <c r="P162" s="3"/>
      <c r="Q162" s="12" t="str">
        <f>HYPERLINK("https://drive.google.com/file/d/1g8GiIk-gprUDMGqnckFjmaRpgUUCfcgD/view?usp=drive_link","Buka Dokumen")</f>
        <v>Buka Dokumen</v>
      </c>
      <c r="R162" s="15" t="s">
        <v>1140</v>
      </c>
    </row>
    <row r="163" spans="1:18" ht="126.75" customHeight="1">
      <c r="A163" s="6">
        <v>161</v>
      </c>
      <c r="B163" s="9" t="s">
        <v>1086</v>
      </c>
      <c r="C163" s="3"/>
      <c r="D163" s="3" t="s">
        <v>1141</v>
      </c>
      <c r="E163" s="3" t="s">
        <v>35</v>
      </c>
      <c r="F163" s="3" t="s">
        <v>1142</v>
      </c>
      <c r="G163" s="3" t="s">
        <v>1143</v>
      </c>
      <c r="H163" s="3" t="s">
        <v>22</v>
      </c>
      <c r="I163" s="3" t="s">
        <v>1144</v>
      </c>
      <c r="J163" s="9" t="s">
        <v>26</v>
      </c>
      <c r="K163" s="9" t="s">
        <v>1138</v>
      </c>
      <c r="L163" s="9" t="s">
        <v>1139</v>
      </c>
      <c r="M163" s="9" t="s">
        <v>784</v>
      </c>
      <c r="N163" s="9">
        <v>0</v>
      </c>
      <c r="O163" s="3"/>
      <c r="P163" s="3"/>
      <c r="Q163" s="12" t="str">
        <f>HYPERLINK("https://drive.google.com/file/d/1wQMLI6sxC3LK65zbhrmng6XvbeVO36hG/view?usp=drive_link","Buka Dokumen")</f>
        <v>Buka Dokumen</v>
      </c>
      <c r="R163" s="15" t="s">
        <v>1145</v>
      </c>
    </row>
    <row r="164" spans="1:18" ht="126.75" customHeight="1">
      <c r="A164" s="6">
        <v>162</v>
      </c>
      <c r="B164" s="9" t="s">
        <v>1086</v>
      </c>
      <c r="C164" s="3"/>
      <c r="D164" s="3" t="s">
        <v>1146</v>
      </c>
      <c r="E164" s="3" t="s">
        <v>55</v>
      </c>
      <c r="F164" s="3" t="s">
        <v>1147</v>
      </c>
      <c r="G164" s="3" t="s">
        <v>1148</v>
      </c>
      <c r="H164" s="3" t="s">
        <v>1149</v>
      </c>
      <c r="I164" s="3" t="s">
        <v>1150</v>
      </c>
      <c r="J164" s="9"/>
      <c r="K164" s="9" t="s">
        <v>1151</v>
      </c>
      <c r="L164" s="9"/>
      <c r="M164" s="9" t="s">
        <v>784</v>
      </c>
      <c r="N164" s="9">
        <v>0</v>
      </c>
      <c r="O164" s="3"/>
      <c r="P164" s="3"/>
      <c r="Q164" s="12" t="str">
        <f>HYPERLINK("https://drive.google.com/file/d/1m1i2QPQVF3sCLh4Bf5CqfPnmxepdaYfX/view?usp=drive_link","Buka Dokumen")</f>
        <v>Buka Dokumen</v>
      </c>
      <c r="R164" s="15" t="s">
        <v>1152</v>
      </c>
    </row>
    <row r="165" spans="1:18" ht="126.75" customHeight="1">
      <c r="A165" s="6">
        <v>163</v>
      </c>
      <c r="B165" s="9" t="s">
        <v>1086</v>
      </c>
      <c r="C165" s="3"/>
      <c r="D165" s="3" t="s">
        <v>1153</v>
      </c>
      <c r="E165" s="3" t="s">
        <v>55</v>
      </c>
      <c r="F165" s="3" t="s">
        <v>1154</v>
      </c>
      <c r="G165" s="3" t="s">
        <v>1155</v>
      </c>
      <c r="H165" s="3" t="s">
        <v>1156</v>
      </c>
      <c r="I165" s="3" t="s">
        <v>1157</v>
      </c>
      <c r="J165" s="9" t="s">
        <v>1158</v>
      </c>
      <c r="K165" s="9" t="s">
        <v>1159</v>
      </c>
      <c r="L165" s="9" t="s">
        <v>1160</v>
      </c>
      <c r="M165" s="9" t="s">
        <v>784</v>
      </c>
      <c r="N165" s="9">
        <v>0</v>
      </c>
      <c r="O165" s="3"/>
      <c r="P165" s="3"/>
      <c r="Q165" s="12" t="str">
        <f>HYPERLINK("https://drive.google.com/file/d/133iNajsjj71vsGNVP_AyqQpgacvZzoWF/view?usp=drive_link","Buka Dokumen")</f>
        <v>Buka Dokumen</v>
      </c>
      <c r="R165" s="15" t="s">
        <v>1161</v>
      </c>
    </row>
    <row r="166" spans="1:18" ht="126.75" customHeight="1">
      <c r="A166" s="6">
        <v>164</v>
      </c>
      <c r="B166" s="9" t="s">
        <v>1086</v>
      </c>
      <c r="C166" s="3"/>
      <c r="D166" s="3" t="s">
        <v>1146</v>
      </c>
      <c r="E166" s="3" t="s">
        <v>55</v>
      </c>
      <c r="F166" s="3" t="s">
        <v>382</v>
      </c>
      <c r="G166" s="3" t="s">
        <v>1162</v>
      </c>
      <c r="H166" s="3" t="s">
        <v>22</v>
      </c>
      <c r="I166" s="3" t="s">
        <v>1163</v>
      </c>
      <c r="J166" s="9" t="s">
        <v>26</v>
      </c>
      <c r="K166" s="9" t="s">
        <v>1164</v>
      </c>
      <c r="L166" s="9" t="s">
        <v>1165</v>
      </c>
      <c r="M166" s="9" t="s">
        <v>784</v>
      </c>
      <c r="N166" s="9">
        <v>0</v>
      </c>
      <c r="O166" s="3"/>
      <c r="P166" s="3"/>
      <c r="Q166" s="12" t="str">
        <f>HYPERLINK("https://drive.google.com/file/d/1HhamCeNqsFlAyk_LX3V5_C1ehORG3Enq/view?usp=drive_link","Buka Dokumen")</f>
        <v>Buka Dokumen</v>
      </c>
      <c r="R166" s="15" t="s">
        <v>1166</v>
      </c>
    </row>
    <row r="167" spans="1:18" ht="126.75" customHeight="1">
      <c r="A167" s="6">
        <v>165</v>
      </c>
      <c r="B167" s="9" t="s">
        <v>1086</v>
      </c>
      <c r="C167" s="3"/>
      <c r="D167" s="3" t="s">
        <v>1167</v>
      </c>
      <c r="E167" s="3" t="s">
        <v>55</v>
      </c>
      <c r="F167" s="3" t="s">
        <v>1168</v>
      </c>
      <c r="G167" s="3" t="s">
        <v>1169</v>
      </c>
      <c r="H167" s="3" t="s">
        <v>1170</v>
      </c>
      <c r="I167" s="3" t="s">
        <v>1171</v>
      </c>
      <c r="J167" s="9" t="s">
        <v>60</v>
      </c>
      <c r="K167" s="9" t="s">
        <v>1172</v>
      </c>
      <c r="L167" s="9" t="s">
        <v>1173</v>
      </c>
      <c r="M167" s="9" t="s">
        <v>784</v>
      </c>
      <c r="N167" s="9">
        <v>0</v>
      </c>
      <c r="O167" s="3"/>
      <c r="P167" s="3"/>
      <c r="Q167" s="12" t="str">
        <f>HYPERLINK("https://drive.google.com/file/d/1tCoh5p5pnlpI_unakwy4efjzR_YkruAu/view?usp=drive_link","Buka Dokumen")</f>
        <v>Buka Dokumen</v>
      </c>
      <c r="R167" s="15" t="s">
        <v>1174</v>
      </c>
    </row>
    <row r="168" spans="1:18" ht="126.75" customHeight="1">
      <c r="A168" s="6">
        <v>166</v>
      </c>
      <c r="B168" s="9" t="s">
        <v>1086</v>
      </c>
      <c r="C168" s="3"/>
      <c r="D168" s="3" t="s">
        <v>1175</v>
      </c>
      <c r="E168" s="3" t="s">
        <v>55</v>
      </c>
      <c r="F168" s="3" t="s">
        <v>1176</v>
      </c>
      <c r="G168" s="3" t="s">
        <v>1177</v>
      </c>
      <c r="H168" s="3" t="s">
        <v>1178</v>
      </c>
      <c r="I168" s="3" t="s">
        <v>1179</v>
      </c>
      <c r="J168" s="9" t="s">
        <v>1158</v>
      </c>
      <c r="K168" s="9" t="s">
        <v>1180</v>
      </c>
      <c r="L168" s="9"/>
      <c r="M168" s="9" t="s">
        <v>784</v>
      </c>
      <c r="N168" s="9">
        <v>0</v>
      </c>
      <c r="O168" s="3"/>
      <c r="P168" s="3"/>
      <c r="Q168" s="12" t="str">
        <f>HYPERLINK("https://drive.google.com/file/d/1Brgyuapz9DbUIg51othDucFjROgViuAv/view?usp=drive_link","Buka Dokumen")</f>
        <v>Buka Dokumen</v>
      </c>
      <c r="R168" s="15" t="s">
        <v>1181</v>
      </c>
    </row>
    <row r="169" spans="1:18" ht="126.75" customHeight="1">
      <c r="A169" s="6">
        <v>167</v>
      </c>
      <c r="B169" s="9" t="s">
        <v>1086</v>
      </c>
      <c r="C169" s="3"/>
      <c r="D169" s="3" t="s">
        <v>1182</v>
      </c>
      <c r="E169" s="3" t="s">
        <v>21</v>
      </c>
      <c r="F169" s="3" t="s">
        <v>1183</v>
      </c>
      <c r="G169" s="3" t="s">
        <v>1184</v>
      </c>
      <c r="H169" s="3" t="s">
        <v>1185</v>
      </c>
      <c r="I169" s="3" t="s">
        <v>1186</v>
      </c>
      <c r="J169" s="9" t="s">
        <v>26</v>
      </c>
      <c r="K169" s="9" t="s">
        <v>1187</v>
      </c>
      <c r="L169" s="9" t="s">
        <v>843</v>
      </c>
      <c r="M169" s="9" t="s">
        <v>784</v>
      </c>
      <c r="N169" s="9">
        <v>0</v>
      </c>
      <c r="O169" s="3"/>
      <c r="P169" s="3"/>
      <c r="Q169" s="12" t="str">
        <f>HYPERLINK("https://drive.google.com/file/d/1IzL9kIJFNTFZZ7mNbChD-lVxeWrdtBKd/view?usp=drive_link","Buka Dokumen")</f>
        <v>Buka Dokumen</v>
      </c>
      <c r="R169" s="15" t="s">
        <v>1188</v>
      </c>
    </row>
    <row r="170" spans="1:18" ht="126.75" customHeight="1">
      <c r="A170" s="6">
        <v>168</v>
      </c>
      <c r="B170" s="9" t="s">
        <v>1086</v>
      </c>
      <c r="C170" s="3"/>
      <c r="D170" s="3" t="s">
        <v>305</v>
      </c>
      <c r="E170" s="3" t="s">
        <v>55</v>
      </c>
      <c r="F170" s="3" t="s">
        <v>453</v>
      </c>
      <c r="G170" s="3" t="s">
        <v>1189</v>
      </c>
      <c r="H170" s="3" t="s">
        <v>1190</v>
      </c>
      <c r="I170" s="3" t="s">
        <v>1191</v>
      </c>
      <c r="J170" s="9" t="s">
        <v>60</v>
      </c>
      <c r="K170" s="9" t="s">
        <v>1192</v>
      </c>
      <c r="L170" s="9" t="s">
        <v>1193</v>
      </c>
      <c r="M170" s="9" t="s">
        <v>784</v>
      </c>
      <c r="N170" s="9">
        <v>0</v>
      </c>
      <c r="O170" s="3"/>
      <c r="P170" s="3"/>
      <c r="Q170" s="12" t="str">
        <f>HYPERLINK("https://drive.google.com/file/d/1ggv7ayCz48n58E5rg1ER23uaQ1RRt-st/view?usp=drive_link","Buka Dokumen")</f>
        <v>Buka Dokumen</v>
      </c>
      <c r="R170" s="15" t="s">
        <v>1194</v>
      </c>
    </row>
    <row r="171" spans="1:18" ht="126.75" customHeight="1">
      <c r="A171" s="6">
        <v>169</v>
      </c>
      <c r="B171" s="9" t="s">
        <v>1086</v>
      </c>
      <c r="C171" s="3"/>
      <c r="D171" s="3" t="s">
        <v>1195</v>
      </c>
      <c r="E171" s="3" t="s">
        <v>55</v>
      </c>
      <c r="F171" s="3" t="s">
        <v>1196</v>
      </c>
      <c r="G171" s="3" t="s">
        <v>1197</v>
      </c>
      <c r="H171" s="3" t="s">
        <v>1198</v>
      </c>
      <c r="I171" s="3" t="s">
        <v>1199</v>
      </c>
      <c r="J171" s="9" t="s">
        <v>420</v>
      </c>
      <c r="K171" s="9" t="s">
        <v>1200</v>
      </c>
      <c r="L171" s="9" t="s">
        <v>1201</v>
      </c>
      <c r="M171" s="9" t="s">
        <v>784</v>
      </c>
      <c r="N171" s="9">
        <v>0</v>
      </c>
      <c r="O171" s="3"/>
      <c r="P171" s="3"/>
      <c r="Q171" s="12" t="str">
        <f>HYPERLINK("https://drive.google.com/file/d/1Au2lYA_1GNJiN-yr4cxWfg3YMVybnnqz/view?usp=drive_link","Buka Dokumen")</f>
        <v>Buka Dokumen</v>
      </c>
      <c r="R171" s="15" t="s">
        <v>1202</v>
      </c>
    </row>
    <row r="172" spans="1:18" ht="126.75" customHeight="1">
      <c r="A172" s="6">
        <v>170</v>
      </c>
      <c r="B172" s="9" t="s">
        <v>1086</v>
      </c>
      <c r="C172" s="3"/>
      <c r="D172" s="3" t="s">
        <v>1203</v>
      </c>
      <c r="E172" s="3" t="s">
        <v>35</v>
      </c>
      <c r="F172" s="3" t="s">
        <v>1204</v>
      </c>
      <c r="G172" s="3" t="s">
        <v>1205</v>
      </c>
      <c r="H172" s="3" t="s">
        <v>942</v>
      </c>
      <c r="I172" s="3" t="s">
        <v>1206</v>
      </c>
      <c r="J172" s="9" t="s">
        <v>26</v>
      </c>
      <c r="K172" s="9" t="s">
        <v>1207</v>
      </c>
      <c r="L172" s="9" t="s">
        <v>1208</v>
      </c>
      <c r="M172" s="9" t="s">
        <v>784</v>
      </c>
      <c r="N172" s="9">
        <v>0</v>
      </c>
      <c r="O172" s="3"/>
      <c r="P172" s="3"/>
      <c r="Q172" s="12" t="str">
        <f>HYPERLINK("https://drive.google.com/file/d/10JsXop2Ib3HDy1loZ3C_oeco6bBZZIa0/view?usp=drive_link","Buka Dokumen")</f>
        <v>Buka Dokumen</v>
      </c>
      <c r="R172" s="15" t="s">
        <v>1209</v>
      </c>
    </row>
    <row r="173" spans="1:18" ht="126.75" customHeight="1">
      <c r="A173" s="6">
        <v>171</v>
      </c>
      <c r="B173" s="9" t="s">
        <v>1086</v>
      </c>
      <c r="C173" s="3"/>
      <c r="D173" s="3" t="s">
        <v>1210</v>
      </c>
      <c r="E173" s="3" t="s">
        <v>55</v>
      </c>
      <c r="F173" s="3" t="s">
        <v>1128</v>
      </c>
      <c r="G173" s="3" t="s">
        <v>1211</v>
      </c>
      <c r="H173" s="3" t="s">
        <v>1212</v>
      </c>
      <c r="I173" s="3" t="s">
        <v>1213</v>
      </c>
      <c r="J173" s="9" t="s">
        <v>60</v>
      </c>
      <c r="K173" s="9" t="s">
        <v>1214</v>
      </c>
      <c r="L173" s="9" t="s">
        <v>1215</v>
      </c>
      <c r="M173" s="9" t="s">
        <v>784</v>
      </c>
      <c r="N173" s="9">
        <v>0</v>
      </c>
      <c r="O173" s="3"/>
      <c r="P173" s="3"/>
      <c r="Q173" s="12" t="str">
        <f>HYPERLINK("https://drive.google.com/file/d/1KaYmS3TSqlQW8bxEHsruYvavY3_HBmup/view?usp=drive_link","Buka Dokumen")</f>
        <v>Buka Dokumen</v>
      </c>
      <c r="R173" s="15" t="s">
        <v>1216</v>
      </c>
    </row>
    <row r="174" spans="1:18" ht="126.75" customHeight="1">
      <c r="A174" s="6">
        <v>172</v>
      </c>
      <c r="B174" s="9" t="s">
        <v>1086</v>
      </c>
      <c r="C174" s="3"/>
      <c r="D174" s="3" t="s">
        <v>1217</v>
      </c>
      <c r="E174" s="3" t="s">
        <v>55</v>
      </c>
      <c r="F174" s="3" t="s">
        <v>1218</v>
      </c>
      <c r="G174" s="3" t="s">
        <v>1219</v>
      </c>
      <c r="H174" s="3" t="s">
        <v>1220</v>
      </c>
      <c r="I174" s="3" t="s">
        <v>1221</v>
      </c>
      <c r="J174" s="9" t="s">
        <v>1025</v>
      </c>
      <c r="K174" s="9" t="s">
        <v>1222</v>
      </c>
      <c r="L174" s="9" t="s">
        <v>1160</v>
      </c>
      <c r="M174" s="9" t="s">
        <v>784</v>
      </c>
      <c r="N174" s="9">
        <v>0</v>
      </c>
      <c r="O174" s="3"/>
      <c r="P174" s="3"/>
      <c r="Q174" s="12" t="str">
        <f>HYPERLINK("https://drive.google.com/file/d/1_8xqFXTeHoDCJ8uI-rSklLtYhnKO_Jsq/view?usp=drive_link","Buka Dokumen")</f>
        <v>Buka Dokumen</v>
      </c>
      <c r="R174" s="15" t="s">
        <v>1223</v>
      </c>
    </row>
    <row r="175" spans="1:18" ht="126.75" customHeight="1">
      <c r="A175" s="6">
        <v>173</v>
      </c>
      <c r="B175" s="9" t="s">
        <v>1086</v>
      </c>
      <c r="C175" s="3"/>
      <c r="D175" s="3" t="s">
        <v>1224</v>
      </c>
      <c r="E175" s="3" t="s">
        <v>55</v>
      </c>
      <c r="F175" s="3" t="s">
        <v>1225</v>
      </c>
      <c r="G175" s="3" t="s">
        <v>1226</v>
      </c>
      <c r="H175" s="3" t="s">
        <v>1227</v>
      </c>
      <c r="I175" s="3" t="s">
        <v>1228</v>
      </c>
      <c r="J175" s="9" t="s">
        <v>60</v>
      </c>
      <c r="K175" s="9" t="s">
        <v>1229</v>
      </c>
      <c r="L175" s="9" t="s">
        <v>1230</v>
      </c>
      <c r="M175" s="9" t="s">
        <v>896</v>
      </c>
      <c r="N175" s="9">
        <v>0</v>
      </c>
      <c r="O175" s="3"/>
      <c r="P175" s="3"/>
      <c r="Q175" s="12" t="str">
        <f>HYPERLINK("https://drive.google.com/file/d/1GECp280aJJdkSjQe6lJqWPi0sWn0Upn7/view?usp=drive_link","Buka Dokumen")</f>
        <v>Buka Dokumen</v>
      </c>
      <c r="R175" s="15" t="s">
        <v>1231</v>
      </c>
    </row>
    <row r="176" spans="1:18" ht="126.75" customHeight="1">
      <c r="A176" s="6">
        <v>174</v>
      </c>
      <c r="B176" s="9" t="s">
        <v>1086</v>
      </c>
      <c r="C176" s="3"/>
      <c r="D176" s="3" t="s">
        <v>1141</v>
      </c>
      <c r="E176" s="3" t="s">
        <v>55</v>
      </c>
      <c r="F176" s="3"/>
      <c r="G176" s="3"/>
      <c r="H176" s="3"/>
      <c r="I176" s="3"/>
      <c r="J176" s="9"/>
      <c r="K176" s="9"/>
      <c r="L176" s="9"/>
      <c r="M176" s="9"/>
      <c r="N176" s="9">
        <v>0</v>
      </c>
      <c r="O176" s="3"/>
      <c r="P176" s="3"/>
      <c r="Q176" s="12" t="s">
        <v>198</v>
      </c>
      <c r="R176" s="15"/>
    </row>
    <row r="177" spans="1:18" ht="126.75" customHeight="1">
      <c r="A177" s="6">
        <v>175</v>
      </c>
      <c r="B177" s="9" t="s">
        <v>1086</v>
      </c>
      <c r="C177" s="3"/>
      <c r="D177" s="3" t="s">
        <v>891</v>
      </c>
      <c r="E177" s="3" t="s">
        <v>21</v>
      </c>
      <c r="F177" s="3" t="s">
        <v>22</v>
      </c>
      <c r="G177" s="3" t="s">
        <v>1232</v>
      </c>
      <c r="H177" s="3" t="s">
        <v>1233</v>
      </c>
      <c r="I177" s="3" t="s">
        <v>1234</v>
      </c>
      <c r="J177" s="9" t="s">
        <v>26</v>
      </c>
      <c r="K177" s="9" t="s">
        <v>1235</v>
      </c>
      <c r="L177" s="9" t="s">
        <v>1236</v>
      </c>
      <c r="M177" s="9" t="s">
        <v>784</v>
      </c>
      <c r="N177" s="9">
        <v>0</v>
      </c>
      <c r="O177" s="3"/>
      <c r="P177" s="3"/>
      <c r="Q177" s="12" t="str">
        <f>HYPERLINK("https://drive.google.com/file/d/1LU1BdrodGlj03qHB9zX7uR9c-q_in0ZG/view?usp=drive_link","Buka Dokumen")</f>
        <v>Buka Dokumen</v>
      </c>
      <c r="R177" s="15" t="s">
        <v>1237</v>
      </c>
    </row>
    <row r="178" spans="1:18" ht="126.75" customHeight="1">
      <c r="A178" s="6">
        <v>176</v>
      </c>
      <c r="B178" s="9" t="s">
        <v>1086</v>
      </c>
      <c r="C178" s="3"/>
      <c r="D178" s="3" t="s">
        <v>1238</v>
      </c>
      <c r="E178" s="3" t="s">
        <v>21</v>
      </c>
      <c r="F178" s="3" t="s">
        <v>22</v>
      </c>
      <c r="G178" s="3" t="s">
        <v>1239</v>
      </c>
      <c r="H178" s="3" t="s">
        <v>1240</v>
      </c>
      <c r="I178" s="3" t="s">
        <v>1241</v>
      </c>
      <c r="J178" s="9" t="s">
        <v>26</v>
      </c>
      <c r="K178" s="9" t="s">
        <v>1118</v>
      </c>
      <c r="L178" s="9" t="s">
        <v>359</v>
      </c>
      <c r="M178" s="9" t="s">
        <v>784</v>
      </c>
      <c r="N178" s="9">
        <v>0</v>
      </c>
      <c r="O178" s="3"/>
      <c r="P178" s="3"/>
      <c r="Q178" s="12" t="str">
        <f>HYPERLINK("https://drive.google.com/file/d/1K-EX6R5ot3cPszGCCj0FiOijqyz0tgob/view?usp=drive_link","Buka Dokumen")</f>
        <v>Buka Dokumen</v>
      </c>
      <c r="R178" s="15" t="s">
        <v>1242</v>
      </c>
    </row>
    <row r="179" spans="1:18" ht="126.75" customHeight="1">
      <c r="A179" s="6">
        <v>177</v>
      </c>
      <c r="B179" s="9" t="s">
        <v>1086</v>
      </c>
      <c r="C179" s="3"/>
      <c r="D179" s="3" t="s">
        <v>1243</v>
      </c>
      <c r="E179" s="3" t="s">
        <v>21</v>
      </c>
      <c r="F179" s="3" t="s">
        <v>22</v>
      </c>
      <c r="G179" s="3" t="s">
        <v>1244</v>
      </c>
      <c r="H179" s="3" t="s">
        <v>1245</v>
      </c>
      <c r="I179" s="3" t="s">
        <v>1246</v>
      </c>
      <c r="J179" s="9"/>
      <c r="K179" s="9" t="s">
        <v>1247</v>
      </c>
      <c r="L179" s="9"/>
      <c r="M179" s="9"/>
      <c r="N179" s="9">
        <v>0</v>
      </c>
      <c r="O179" s="3"/>
      <c r="P179" s="3"/>
      <c r="Q179" s="12" t="str">
        <f>HYPERLINK("https://drive.google.com/file/d/1bwc9nRCX80-_Y83PyJsM_MJ40vGma0Ej/view?usp=drive_link","Buka Dokumen")</f>
        <v>Buka Dokumen</v>
      </c>
      <c r="R179" s="15" t="s">
        <v>1248</v>
      </c>
    </row>
    <row r="180" spans="1:18" ht="126.75" customHeight="1">
      <c r="A180" s="6">
        <v>178</v>
      </c>
      <c r="B180" s="9" t="s">
        <v>1086</v>
      </c>
      <c r="C180" s="3"/>
      <c r="D180" s="3" t="s">
        <v>1249</v>
      </c>
      <c r="E180" s="3" t="s">
        <v>21</v>
      </c>
      <c r="F180" s="3" t="s">
        <v>22</v>
      </c>
      <c r="G180" s="3" t="s">
        <v>1250</v>
      </c>
      <c r="H180" s="3" t="s">
        <v>1251</v>
      </c>
      <c r="I180" s="3" t="s">
        <v>1252</v>
      </c>
      <c r="J180" s="9" t="s">
        <v>26</v>
      </c>
      <c r="K180" s="9" t="s">
        <v>1138</v>
      </c>
      <c r="L180" s="9" t="s">
        <v>1139</v>
      </c>
      <c r="M180" s="9" t="s">
        <v>784</v>
      </c>
      <c r="N180" s="9">
        <v>0</v>
      </c>
      <c r="O180" s="3"/>
      <c r="P180" s="3"/>
      <c r="Q180" s="12" t="str">
        <f>HYPERLINK("https://drive.google.com/file/d/1sDpEWO8BMnmOWGK44LTknkVLhQDERdY_/view?usp=drive_link","Buka Dokumen")</f>
        <v>Buka Dokumen</v>
      </c>
      <c r="R180" s="15" t="s">
        <v>1253</v>
      </c>
    </row>
    <row r="181" spans="1:18" ht="126.75" customHeight="1">
      <c r="A181" s="6">
        <v>179</v>
      </c>
      <c r="B181" s="9" t="s">
        <v>1086</v>
      </c>
      <c r="C181" s="3"/>
      <c r="D181" s="3" t="s">
        <v>1254</v>
      </c>
      <c r="E181" s="3" t="s">
        <v>35</v>
      </c>
      <c r="F181" s="3" t="s">
        <v>22</v>
      </c>
      <c r="G181" s="3" t="s">
        <v>1255</v>
      </c>
      <c r="H181" s="3" t="s">
        <v>1256</v>
      </c>
      <c r="I181" s="3" t="s">
        <v>1257</v>
      </c>
      <c r="J181" s="9" t="s">
        <v>26</v>
      </c>
      <c r="K181" s="9" t="s">
        <v>1258</v>
      </c>
      <c r="L181" s="9" t="s">
        <v>858</v>
      </c>
      <c r="M181" s="9" t="s">
        <v>784</v>
      </c>
      <c r="N181" s="9">
        <v>0</v>
      </c>
      <c r="O181" s="3"/>
      <c r="P181" s="3"/>
      <c r="Q181" s="12" t="str">
        <f>HYPERLINK("https://drive.google.com/file/d/1GbguVhlSkbGqibI7P6OYmQlL2Mmsbd9l/view?usp=drive_link","Buka Dokumen")</f>
        <v>Buka Dokumen</v>
      </c>
      <c r="R181" s="15" t="s">
        <v>1259</v>
      </c>
    </row>
    <row r="182" spans="1:18" ht="126.75" customHeight="1">
      <c r="A182" s="6">
        <v>180</v>
      </c>
      <c r="B182" s="9" t="s">
        <v>1086</v>
      </c>
      <c r="C182" s="3"/>
      <c r="D182" s="3" t="s">
        <v>1260</v>
      </c>
      <c r="E182" s="3" t="s">
        <v>35</v>
      </c>
      <c r="F182" s="3" t="s">
        <v>22</v>
      </c>
      <c r="G182" s="3" t="s">
        <v>1261</v>
      </c>
      <c r="H182" s="3" t="s">
        <v>1262</v>
      </c>
      <c r="I182" s="3" t="s">
        <v>1263</v>
      </c>
      <c r="J182" s="9" t="s">
        <v>26</v>
      </c>
      <c r="K182" s="9" t="s">
        <v>1264</v>
      </c>
      <c r="L182" s="9" t="s">
        <v>1265</v>
      </c>
      <c r="M182" s="9" t="s">
        <v>784</v>
      </c>
      <c r="N182" s="9">
        <v>0</v>
      </c>
      <c r="O182" s="3"/>
      <c r="P182" s="3"/>
      <c r="Q182" s="12" t="str">
        <f>HYPERLINK("https://drive.google.com/file/d/1nwzgpeJoqUcZM42G9thqpwjZy2MAK9_d/view?usp=drive_link","Buka Dokumen")</f>
        <v>Buka Dokumen</v>
      </c>
      <c r="R182" s="15" t="s">
        <v>1266</v>
      </c>
    </row>
    <row r="183" spans="1:18" ht="126.75" customHeight="1">
      <c r="A183" s="6">
        <v>181</v>
      </c>
      <c r="B183" s="9" t="s">
        <v>1086</v>
      </c>
      <c r="C183" s="3"/>
      <c r="D183" s="3" t="s">
        <v>1267</v>
      </c>
      <c r="E183" s="3" t="s">
        <v>35</v>
      </c>
      <c r="F183" s="3" t="s">
        <v>22</v>
      </c>
      <c r="G183" s="3" t="s">
        <v>1268</v>
      </c>
      <c r="H183" s="3" t="s">
        <v>1269</v>
      </c>
      <c r="I183" s="3" t="s">
        <v>1270</v>
      </c>
      <c r="J183" s="9" t="s">
        <v>26</v>
      </c>
      <c r="K183" s="9" t="s">
        <v>1271</v>
      </c>
      <c r="L183" s="9" t="s">
        <v>1272</v>
      </c>
      <c r="M183" s="9" t="s">
        <v>784</v>
      </c>
      <c r="N183" s="9">
        <v>0</v>
      </c>
      <c r="O183" s="3"/>
      <c r="P183" s="3"/>
      <c r="Q183" s="12" t="str">
        <f>HYPERLINK("https://drive.google.com/file/d/1XV53pH93iaS7Qkf0T_FnVywTGJYVX-lX/view?usp=drive_link","Buka Dokumen")</f>
        <v>Buka Dokumen</v>
      </c>
      <c r="R183" s="15" t="s">
        <v>1273</v>
      </c>
    </row>
    <row r="184" spans="1:18" ht="126.75" customHeight="1">
      <c r="A184" s="6">
        <v>182</v>
      </c>
      <c r="B184" s="9" t="s">
        <v>1086</v>
      </c>
      <c r="C184" s="3"/>
      <c r="D184" s="3" t="s">
        <v>777</v>
      </c>
      <c r="E184" s="3" t="s">
        <v>21</v>
      </c>
      <c r="F184" s="3" t="s">
        <v>56</v>
      </c>
      <c r="G184" s="3" t="s">
        <v>1274</v>
      </c>
      <c r="H184" s="3" t="s">
        <v>1275</v>
      </c>
      <c r="I184" s="3" t="s">
        <v>1276</v>
      </c>
      <c r="J184" s="9" t="s">
        <v>60</v>
      </c>
      <c r="K184" s="9" t="s">
        <v>1235</v>
      </c>
      <c r="L184" s="9" t="s">
        <v>1277</v>
      </c>
      <c r="M184" s="9" t="s">
        <v>784</v>
      </c>
      <c r="N184" s="9">
        <v>0</v>
      </c>
      <c r="O184" s="3"/>
      <c r="P184" s="3"/>
      <c r="Q184" s="12" t="str">
        <f>HYPERLINK("https://drive.google.com/file/d/1G95ki7azFu3kYeYVFU4r9sgDOvhuSPth/view?usp=drive_link","Buka Dokumen")</f>
        <v>Buka Dokumen</v>
      </c>
      <c r="R184" s="15" t="s">
        <v>1278</v>
      </c>
    </row>
    <row r="185" spans="1:18" ht="126.75" customHeight="1">
      <c r="A185" s="6">
        <v>183</v>
      </c>
      <c r="B185" s="9" t="s">
        <v>1086</v>
      </c>
      <c r="C185" s="3"/>
      <c r="D185" s="3" t="s">
        <v>1279</v>
      </c>
      <c r="E185" s="3" t="s">
        <v>21</v>
      </c>
      <c r="F185" s="3" t="s">
        <v>56</v>
      </c>
      <c r="G185" s="3" t="s">
        <v>1280</v>
      </c>
      <c r="H185" s="3" t="s">
        <v>1281</v>
      </c>
      <c r="I185" s="3" t="s">
        <v>1282</v>
      </c>
      <c r="J185" s="9" t="s">
        <v>60</v>
      </c>
      <c r="K185" s="9" t="s">
        <v>1118</v>
      </c>
      <c r="L185" s="9" t="s">
        <v>1283</v>
      </c>
      <c r="M185" s="9" t="s">
        <v>784</v>
      </c>
      <c r="N185" s="9">
        <v>0</v>
      </c>
      <c r="O185" s="3"/>
      <c r="P185" s="3"/>
      <c r="Q185" s="12" t="str">
        <f>HYPERLINK("https://drive.google.com/file/d/1HwIXsHhBrRTJ_JkSbYknq41YHpMh03GC/view?usp=drive_link","Buka Dokumen")</f>
        <v>Buka Dokumen</v>
      </c>
      <c r="R185" s="15" t="s">
        <v>1284</v>
      </c>
    </row>
    <row r="186" spans="1:18" ht="126.75" customHeight="1">
      <c r="A186" s="6">
        <v>184</v>
      </c>
      <c r="B186" s="9" t="s">
        <v>1086</v>
      </c>
      <c r="C186" s="3"/>
      <c r="D186" s="3" t="s">
        <v>1120</v>
      </c>
      <c r="E186" s="3" t="s">
        <v>55</v>
      </c>
      <c r="F186" s="3" t="s">
        <v>56</v>
      </c>
      <c r="G186" s="3" t="s">
        <v>1285</v>
      </c>
      <c r="H186" s="3" t="s">
        <v>1286</v>
      </c>
      <c r="I186" s="3" t="s">
        <v>1287</v>
      </c>
      <c r="J186" s="9"/>
      <c r="K186" s="9" t="s">
        <v>1288</v>
      </c>
      <c r="L186" s="9"/>
      <c r="M186" s="9" t="s">
        <v>29</v>
      </c>
      <c r="N186" s="9">
        <v>0</v>
      </c>
      <c r="O186" s="3"/>
      <c r="P186" s="3"/>
      <c r="Q186" s="12" t="str">
        <f>HYPERLINK("https://drive.google.com/file/d/1Th52zIDxFWpdeZG5oNSgDsETa4Z3LPxZ/view?usp=drive_link","Buka Dokumen")</f>
        <v>Buka Dokumen</v>
      </c>
      <c r="R186" s="15" t="s">
        <v>1289</v>
      </c>
    </row>
    <row r="187" spans="1:18" ht="126.75" customHeight="1">
      <c r="A187" s="6">
        <v>185</v>
      </c>
      <c r="B187" s="9" t="s">
        <v>1086</v>
      </c>
      <c r="C187" s="3"/>
      <c r="D187" s="3" t="s">
        <v>1290</v>
      </c>
      <c r="E187" s="3" t="s">
        <v>244</v>
      </c>
      <c r="F187" s="3" t="s">
        <v>56</v>
      </c>
      <c r="G187" s="3"/>
      <c r="H187" s="3" t="s">
        <v>1291</v>
      </c>
      <c r="I187" s="3"/>
      <c r="J187" s="9" t="s">
        <v>60</v>
      </c>
      <c r="K187" s="9" t="s">
        <v>1292</v>
      </c>
      <c r="L187" s="9" t="s">
        <v>1293</v>
      </c>
      <c r="M187" s="9" t="s">
        <v>784</v>
      </c>
      <c r="N187" s="9">
        <v>0</v>
      </c>
      <c r="O187" s="3"/>
      <c r="P187" s="3"/>
      <c r="Q187" s="12" t="str">
        <f>HYPERLINK("https://drive.google.com/file/d/1yiOsHATqph9TH5UMRMe-GhebxOMTREi3/view?usp=drive_link","Buka Dokumen")</f>
        <v>Buka Dokumen</v>
      </c>
      <c r="R187" s="15" t="s">
        <v>1294</v>
      </c>
    </row>
    <row r="188" spans="1:18" ht="126.75" customHeight="1">
      <c r="A188" s="6">
        <v>186</v>
      </c>
      <c r="B188" s="9" t="s">
        <v>1086</v>
      </c>
      <c r="C188" s="3"/>
      <c r="D188" s="3" t="s">
        <v>1295</v>
      </c>
      <c r="E188" s="3" t="s">
        <v>21</v>
      </c>
      <c r="F188" s="3" t="s">
        <v>56</v>
      </c>
      <c r="G188" s="3" t="s">
        <v>1296</v>
      </c>
      <c r="H188" s="3" t="s">
        <v>942</v>
      </c>
      <c r="I188" s="3" t="s">
        <v>1297</v>
      </c>
      <c r="J188" s="9" t="s">
        <v>26</v>
      </c>
      <c r="K188" s="9" t="s">
        <v>1258</v>
      </c>
      <c r="L188" s="9" t="s">
        <v>858</v>
      </c>
      <c r="M188" s="9" t="s">
        <v>784</v>
      </c>
      <c r="N188" s="9">
        <v>0</v>
      </c>
      <c r="O188" s="3"/>
      <c r="P188" s="3"/>
      <c r="Q188" s="12" t="str">
        <f>HYPERLINK("https://drive.google.com/file/d/1HS2NbKxdbG8Ga0bQi-FKnLmvM_Bur9tZ/view?usp=drive_link","Buka Dokumen")</f>
        <v>Buka Dokumen</v>
      </c>
      <c r="R188" s="15" t="s">
        <v>1298</v>
      </c>
    </row>
    <row r="189" spans="1:18" ht="126.75" customHeight="1">
      <c r="A189" s="6">
        <v>187</v>
      </c>
      <c r="B189" s="9" t="s">
        <v>1086</v>
      </c>
      <c r="C189" s="3"/>
      <c r="D189" s="3" t="s">
        <v>1299</v>
      </c>
      <c r="E189" s="3" t="s">
        <v>244</v>
      </c>
      <c r="F189" s="3" t="s">
        <v>56</v>
      </c>
      <c r="G189" s="3"/>
      <c r="H189" s="3" t="s">
        <v>733</v>
      </c>
      <c r="I189" s="3"/>
      <c r="J189" s="9" t="s">
        <v>60</v>
      </c>
      <c r="K189" s="9" t="s">
        <v>1159</v>
      </c>
      <c r="L189" s="9" t="s">
        <v>1300</v>
      </c>
      <c r="M189" s="9" t="s">
        <v>784</v>
      </c>
      <c r="N189" s="9">
        <v>0</v>
      </c>
      <c r="O189" s="3"/>
      <c r="P189" s="3"/>
      <c r="Q189" s="12" t="str">
        <f>HYPERLINK("https://drive.google.com/file/d/1j-EENT-gVEBf6IKh1d934HNegSoouwe5/view?usp=drive_link","Buka Dokumen")</f>
        <v>Buka Dokumen</v>
      </c>
      <c r="R189" s="15" t="s">
        <v>1301</v>
      </c>
    </row>
    <row r="190" spans="1:18" ht="126.75" customHeight="1">
      <c r="A190" s="6">
        <v>188</v>
      </c>
      <c r="B190" s="9" t="s">
        <v>1086</v>
      </c>
      <c r="C190" s="3"/>
      <c r="D190" s="3" t="s">
        <v>1302</v>
      </c>
      <c r="E190" s="3" t="s">
        <v>244</v>
      </c>
      <c r="F190" s="3" t="s">
        <v>56</v>
      </c>
      <c r="G190" s="3"/>
      <c r="H190" s="3" t="s">
        <v>1303</v>
      </c>
      <c r="I190" s="3"/>
      <c r="J190" s="9" t="s">
        <v>60</v>
      </c>
      <c r="K190" s="9" t="s">
        <v>1180</v>
      </c>
      <c r="L190" s="9" t="s">
        <v>1304</v>
      </c>
      <c r="M190" s="9" t="s">
        <v>784</v>
      </c>
      <c r="N190" s="9">
        <v>0</v>
      </c>
      <c r="O190" s="3"/>
      <c r="P190" s="3"/>
      <c r="Q190" s="12" t="str">
        <f>HYPERLINK("https://drive.google.com/file/d/1WVmvwvcw9frC6quS3fxQ0UP60HkwbSEa/view?usp=drive_link","Buka Dokumen")</f>
        <v>Buka Dokumen</v>
      </c>
      <c r="R190" s="15" t="s">
        <v>1305</v>
      </c>
    </row>
    <row r="191" spans="1:18" ht="126.75" customHeight="1">
      <c r="A191" s="6">
        <v>189</v>
      </c>
      <c r="B191" s="9" t="s">
        <v>1306</v>
      </c>
      <c r="C191" s="3"/>
      <c r="D191" s="3" t="s">
        <v>1307</v>
      </c>
      <c r="E191" s="3" t="s">
        <v>21</v>
      </c>
      <c r="F191" s="3" t="s">
        <v>1308</v>
      </c>
      <c r="G191" s="3" t="s">
        <v>1309</v>
      </c>
      <c r="H191" s="3" t="s">
        <v>148</v>
      </c>
      <c r="I191" s="3" t="s">
        <v>1310</v>
      </c>
      <c r="J191" s="9" t="s">
        <v>26</v>
      </c>
      <c r="K191" s="9" t="s">
        <v>1311</v>
      </c>
      <c r="L191" s="9" t="s">
        <v>1312</v>
      </c>
      <c r="M191" s="9" t="s">
        <v>896</v>
      </c>
      <c r="N191" s="9">
        <v>0</v>
      </c>
      <c r="O191" s="3"/>
      <c r="P191" s="3"/>
      <c r="Q191" s="12" t="str">
        <f>HYPERLINK("https://drive.google.com/file/d/1G96b-GHvTiWM-1zAtORhzI2jCKgs2DTy/view?usp=drive_link","Buka Dokumen")</f>
        <v>Buka Dokumen</v>
      </c>
      <c r="R191" s="15" t="s">
        <v>1313</v>
      </c>
    </row>
    <row r="192" spans="1:18" ht="126.75" customHeight="1">
      <c r="A192" s="6">
        <v>190</v>
      </c>
      <c r="B192" s="9" t="s">
        <v>1306</v>
      </c>
      <c r="C192" s="3"/>
      <c r="D192" s="3" t="s">
        <v>1314</v>
      </c>
      <c r="E192" s="3" t="s">
        <v>55</v>
      </c>
      <c r="F192" s="3" t="s">
        <v>1315</v>
      </c>
      <c r="G192" s="3" t="s">
        <v>1316</v>
      </c>
      <c r="H192" s="3" t="s">
        <v>1317</v>
      </c>
      <c r="I192" s="3" t="s">
        <v>1318</v>
      </c>
      <c r="J192" s="9" t="s">
        <v>60</v>
      </c>
      <c r="K192" s="9" t="s">
        <v>1319</v>
      </c>
      <c r="L192" s="9" t="s">
        <v>1320</v>
      </c>
      <c r="M192" s="9" t="s">
        <v>784</v>
      </c>
      <c r="N192" s="9">
        <v>0</v>
      </c>
      <c r="O192" s="3"/>
      <c r="P192" s="3"/>
      <c r="Q192" s="12" t="str">
        <f>HYPERLINK("https://drive.google.com/file/d/1VbEzFPcKcVnZ7-uRJUKJOtWKm6cykdfw/view?usp=drive_link","Buka Dokumen")</f>
        <v>Buka Dokumen</v>
      </c>
      <c r="R192" s="15" t="s">
        <v>1321</v>
      </c>
    </row>
    <row r="193" spans="1:18" ht="126.75" customHeight="1">
      <c r="A193" s="6">
        <v>191</v>
      </c>
      <c r="B193" s="9" t="s">
        <v>1306</v>
      </c>
      <c r="C193" s="3"/>
      <c r="D193" s="3" t="s">
        <v>1322</v>
      </c>
      <c r="E193" s="3" t="s">
        <v>55</v>
      </c>
      <c r="F193" s="3" t="s">
        <v>1323</v>
      </c>
      <c r="G193" s="3" t="s">
        <v>1324</v>
      </c>
      <c r="H193" s="3" t="s">
        <v>1325</v>
      </c>
      <c r="I193" s="3" t="s">
        <v>1326</v>
      </c>
      <c r="J193" s="9" t="s">
        <v>60</v>
      </c>
      <c r="K193" s="9" t="s">
        <v>1319</v>
      </c>
      <c r="L193" s="9" t="s">
        <v>1320</v>
      </c>
      <c r="M193" s="9" t="s">
        <v>784</v>
      </c>
      <c r="N193" s="9">
        <v>0</v>
      </c>
      <c r="O193" s="3"/>
      <c r="P193" s="3"/>
      <c r="Q193" s="12" t="str">
        <f>HYPERLINK("https://drive.google.com/file/d/1wDceVrjM9GCJbiTJKXv21UtTPk0mxiRE/view?usp=drive_link","Buka Dokumen")</f>
        <v>Buka Dokumen</v>
      </c>
      <c r="R193" s="15" t="s">
        <v>1327</v>
      </c>
    </row>
    <row r="194" spans="1:18" ht="126.75" customHeight="1">
      <c r="A194" s="6">
        <v>192</v>
      </c>
      <c r="B194" s="9" t="s">
        <v>1306</v>
      </c>
      <c r="C194" s="3"/>
      <c r="D194" s="3" t="s">
        <v>1328</v>
      </c>
      <c r="E194" s="3" t="s">
        <v>55</v>
      </c>
      <c r="F194" s="3" t="s">
        <v>1329</v>
      </c>
      <c r="G194" s="3" t="s">
        <v>1330</v>
      </c>
      <c r="H194" s="3" t="s">
        <v>56</v>
      </c>
      <c r="I194" s="3" t="s">
        <v>1331</v>
      </c>
      <c r="J194" s="9" t="s">
        <v>26</v>
      </c>
      <c r="K194" s="9" t="s">
        <v>1332</v>
      </c>
      <c r="L194" s="9" t="s">
        <v>1333</v>
      </c>
      <c r="M194" s="9" t="s">
        <v>784</v>
      </c>
      <c r="N194" s="9">
        <v>0</v>
      </c>
      <c r="O194" s="3"/>
      <c r="P194" s="3"/>
      <c r="Q194" s="12" t="str">
        <f>HYPERLINK("https://drive.google.com/file/d/1XAyKIHSG1KJl-DDKu7SuMzmXD-kMPVIu/view?usp=drive_link","Buka Dokumen")</f>
        <v>Buka Dokumen</v>
      </c>
      <c r="R194" s="15" t="s">
        <v>1334</v>
      </c>
    </row>
    <row r="195" spans="1:18" ht="126.75" customHeight="1">
      <c r="A195" s="6">
        <v>193</v>
      </c>
      <c r="B195" s="9" t="s">
        <v>1306</v>
      </c>
      <c r="C195" s="3"/>
      <c r="D195" s="3" t="s">
        <v>1335</v>
      </c>
      <c r="E195" s="3" t="s">
        <v>55</v>
      </c>
      <c r="F195" s="3" t="s">
        <v>1336</v>
      </c>
      <c r="G195" s="3" t="s">
        <v>1337</v>
      </c>
      <c r="H195" s="3" t="s">
        <v>1335</v>
      </c>
      <c r="I195" s="3" t="s">
        <v>1338</v>
      </c>
      <c r="J195" s="9" t="s">
        <v>26</v>
      </c>
      <c r="K195" s="9" t="s">
        <v>1339</v>
      </c>
      <c r="L195" s="9" t="s">
        <v>1340</v>
      </c>
      <c r="M195" s="9" t="s">
        <v>784</v>
      </c>
      <c r="N195" s="9">
        <v>0</v>
      </c>
      <c r="O195" s="3"/>
      <c r="P195" s="3"/>
      <c r="Q195" s="12" t="str">
        <f>HYPERLINK("https://drive.google.com/file/d/1frADh0fpFOVC1TzolEnD0CtoWDLoCyXs/view?usp=drive_link","Buka Dokumen")</f>
        <v>Buka Dokumen</v>
      </c>
      <c r="R195" s="15" t="s">
        <v>1341</v>
      </c>
    </row>
    <row r="196" spans="1:18" ht="126.75" customHeight="1">
      <c r="A196" s="6">
        <v>194</v>
      </c>
      <c r="B196" s="9" t="s">
        <v>1306</v>
      </c>
      <c r="C196" s="3"/>
      <c r="D196" s="3" t="s">
        <v>1342</v>
      </c>
      <c r="E196" s="3" t="s">
        <v>55</v>
      </c>
      <c r="F196" s="3" t="s">
        <v>1343</v>
      </c>
      <c r="G196" s="3" t="s">
        <v>1344</v>
      </c>
      <c r="H196" s="3" t="s">
        <v>1345</v>
      </c>
      <c r="I196" s="3" t="s">
        <v>1346</v>
      </c>
      <c r="J196" s="9" t="s">
        <v>60</v>
      </c>
      <c r="K196" s="9" t="s">
        <v>1347</v>
      </c>
      <c r="L196" s="9" t="s">
        <v>1348</v>
      </c>
      <c r="M196" s="9" t="s">
        <v>784</v>
      </c>
      <c r="N196" s="9">
        <v>0</v>
      </c>
      <c r="O196" s="3"/>
      <c r="P196" s="3"/>
      <c r="Q196" s="12" t="str">
        <f>HYPERLINK("https://drive.google.com/file/d/1YTXEWlo1nJIgEuz4BdqHs2ULp3-xyHFI/view?usp=drive_link","Buka Dokumen")</f>
        <v>Buka Dokumen</v>
      </c>
      <c r="R196" s="15" t="s">
        <v>1349</v>
      </c>
    </row>
    <row r="197" spans="1:18" ht="126.75" customHeight="1">
      <c r="A197" s="6">
        <v>195</v>
      </c>
      <c r="B197" s="9" t="s">
        <v>1306</v>
      </c>
      <c r="C197" s="3"/>
      <c r="D197" s="3" t="s">
        <v>1350</v>
      </c>
      <c r="E197" s="3" t="s">
        <v>55</v>
      </c>
      <c r="F197" s="3" t="s">
        <v>1343</v>
      </c>
      <c r="G197" s="3" t="s">
        <v>1351</v>
      </c>
      <c r="H197" s="3" t="s">
        <v>1352</v>
      </c>
      <c r="I197" s="3" t="s">
        <v>1353</v>
      </c>
      <c r="J197" s="9" t="s">
        <v>60</v>
      </c>
      <c r="K197" s="9" t="s">
        <v>1354</v>
      </c>
      <c r="L197" s="9" t="s">
        <v>1355</v>
      </c>
      <c r="M197" s="9" t="s">
        <v>784</v>
      </c>
      <c r="N197" s="9">
        <v>0</v>
      </c>
      <c r="O197" s="3"/>
      <c r="P197" s="3"/>
      <c r="Q197" s="12" t="str">
        <f>HYPERLINK("https://drive.google.com/file/d/1bvTPSwTDEUSDbfrp6VyROUZmquBWR7co/view?usp=drive_link","Buka Dokumen")</f>
        <v>Buka Dokumen</v>
      </c>
      <c r="R197" s="15" t="s">
        <v>1356</v>
      </c>
    </row>
    <row r="198" spans="1:18" ht="126.75" customHeight="1">
      <c r="A198" s="6">
        <v>196</v>
      </c>
      <c r="B198" s="9" t="s">
        <v>1306</v>
      </c>
      <c r="C198" s="3"/>
      <c r="D198" s="3" t="s">
        <v>1357</v>
      </c>
      <c r="E198" s="3" t="s">
        <v>35</v>
      </c>
      <c r="F198" s="3" t="s">
        <v>1358</v>
      </c>
      <c r="G198" s="3" t="s">
        <v>1359</v>
      </c>
      <c r="H198" s="3" t="s">
        <v>1014</v>
      </c>
      <c r="I198" s="3" t="s">
        <v>1360</v>
      </c>
      <c r="J198" s="9" t="s">
        <v>60</v>
      </c>
      <c r="K198" s="9" t="s">
        <v>1361</v>
      </c>
      <c r="L198" s="9" t="s">
        <v>1362</v>
      </c>
      <c r="M198" s="9" t="s">
        <v>784</v>
      </c>
      <c r="N198" s="9">
        <v>0</v>
      </c>
      <c r="O198" s="3"/>
      <c r="P198" s="3"/>
      <c r="Q198" s="12" t="str">
        <f>HYPERLINK("https://drive.google.com/file/d/15aa3HZM08qzh5Ftnc0G1mCybHYP2yCT7/view?usp=drive_link","Buka Dokumen")</f>
        <v>Buka Dokumen</v>
      </c>
      <c r="R198" s="15" t="s">
        <v>1363</v>
      </c>
    </row>
    <row r="199" spans="1:18" ht="126.75" customHeight="1">
      <c r="A199" s="6">
        <v>197</v>
      </c>
      <c r="B199" s="9" t="s">
        <v>1306</v>
      </c>
      <c r="C199" s="3"/>
      <c r="D199" s="3" t="s">
        <v>1364</v>
      </c>
      <c r="E199" s="3" t="s">
        <v>55</v>
      </c>
      <c r="F199" s="3" t="s">
        <v>1365</v>
      </c>
      <c r="G199" s="3" t="s">
        <v>1366</v>
      </c>
      <c r="H199" s="3" t="s">
        <v>1367</v>
      </c>
      <c r="I199" s="3" t="s">
        <v>1368</v>
      </c>
      <c r="J199" s="9" t="s">
        <v>60</v>
      </c>
      <c r="K199" s="9" t="s">
        <v>1369</v>
      </c>
      <c r="L199" s="9" t="s">
        <v>1370</v>
      </c>
      <c r="M199" s="9" t="s">
        <v>784</v>
      </c>
      <c r="N199" s="9">
        <v>0</v>
      </c>
      <c r="O199" s="3"/>
      <c r="P199" s="3"/>
      <c r="Q199" s="12" t="str">
        <f>HYPERLINK("https://drive.google.com/file/d/1xOwrYXEVIqnYOYmu3gEbZRQy4WIO3E8i/view?usp=drive_link","Buka Dokumen")</f>
        <v>Buka Dokumen</v>
      </c>
      <c r="R199" s="15" t="s">
        <v>1371</v>
      </c>
    </row>
    <row r="200" spans="1:18" ht="126.75" customHeight="1">
      <c r="A200" s="6">
        <v>198</v>
      </c>
      <c r="B200" s="9" t="s">
        <v>1306</v>
      </c>
      <c r="C200" s="3"/>
      <c r="D200" s="3" t="s">
        <v>1372</v>
      </c>
      <c r="E200" s="3" t="s">
        <v>55</v>
      </c>
      <c r="F200" s="3" t="s">
        <v>1373</v>
      </c>
      <c r="G200" s="3" t="s">
        <v>1374</v>
      </c>
      <c r="H200" s="3" t="s">
        <v>1323</v>
      </c>
      <c r="I200" s="3" t="s">
        <v>1375</v>
      </c>
      <c r="J200" s="9" t="s">
        <v>1025</v>
      </c>
      <c r="K200" s="9" t="s">
        <v>1319</v>
      </c>
      <c r="L200" s="9" t="s">
        <v>1376</v>
      </c>
      <c r="M200" s="9" t="s">
        <v>784</v>
      </c>
      <c r="N200" s="9">
        <v>0</v>
      </c>
      <c r="O200" s="3"/>
      <c r="P200" s="3"/>
      <c r="Q200" s="12" t="str">
        <f>HYPERLINK("https://drive.google.com/file/d/1qXXcO56QutWa03tF2Ydhda0s21YxAxS9/view?usp=drive_link","Buka Dokumen")</f>
        <v>Buka Dokumen</v>
      </c>
      <c r="R200" s="15" t="s">
        <v>1377</v>
      </c>
    </row>
    <row r="201" spans="1:18" ht="126.75" customHeight="1">
      <c r="A201" s="6">
        <v>199</v>
      </c>
      <c r="B201" s="9" t="s">
        <v>1306</v>
      </c>
      <c r="C201" s="3"/>
      <c r="D201" s="3" t="s">
        <v>1378</v>
      </c>
      <c r="E201" s="3" t="s">
        <v>55</v>
      </c>
      <c r="F201" s="3" t="s">
        <v>1379</v>
      </c>
      <c r="G201" s="3" t="s">
        <v>1380</v>
      </c>
      <c r="H201" s="3" t="s">
        <v>1381</v>
      </c>
      <c r="I201" s="3" t="s">
        <v>1382</v>
      </c>
      <c r="J201" s="9" t="s">
        <v>60</v>
      </c>
      <c r="K201" s="9" t="s">
        <v>1383</v>
      </c>
      <c r="L201" s="9" t="s">
        <v>1384</v>
      </c>
      <c r="M201" s="9" t="s">
        <v>784</v>
      </c>
      <c r="N201" s="9">
        <v>0</v>
      </c>
      <c r="O201" s="3"/>
      <c r="P201" s="3"/>
      <c r="Q201" s="12" t="str">
        <f>HYPERLINK("https://drive.google.com/file/d/1YSIZnmXqAeovpdlWZAGN_2EJIVo32v1y/view?usp=drive_link","Buka Dokumen")</f>
        <v>Buka Dokumen</v>
      </c>
      <c r="R201" s="15" t="s">
        <v>1385</v>
      </c>
    </row>
    <row r="202" spans="1:18" ht="126.75" customHeight="1">
      <c r="A202" s="6">
        <v>200</v>
      </c>
      <c r="B202" s="9" t="s">
        <v>1306</v>
      </c>
      <c r="C202" s="3"/>
      <c r="D202" s="3" t="s">
        <v>1006</v>
      </c>
      <c r="E202" s="3" t="s">
        <v>55</v>
      </c>
      <c r="F202" s="3" t="s">
        <v>1386</v>
      </c>
      <c r="G202" s="3" t="s">
        <v>1387</v>
      </c>
      <c r="H202" s="3" t="s">
        <v>1388</v>
      </c>
      <c r="I202" s="3" t="s">
        <v>1389</v>
      </c>
      <c r="J202" s="9" t="s">
        <v>26</v>
      </c>
      <c r="K202" s="9" t="s">
        <v>1339</v>
      </c>
      <c r="L202" s="9" t="s">
        <v>1340</v>
      </c>
      <c r="M202" s="9" t="s">
        <v>784</v>
      </c>
      <c r="N202" s="9">
        <v>0</v>
      </c>
      <c r="O202" s="3"/>
      <c r="P202" s="3"/>
      <c r="Q202" s="12" t="str">
        <f>HYPERLINK("https://drive.google.com/file/d/1W_uh_RYBXWK8_OXbxDftoXHxSWkXX7ET/view?usp=drive_link","Buka Dokumen")</f>
        <v>Buka Dokumen</v>
      </c>
      <c r="R202" s="15" t="s">
        <v>1390</v>
      </c>
    </row>
    <row r="203" spans="1:18" ht="126.75" customHeight="1">
      <c r="A203" s="6">
        <v>201</v>
      </c>
      <c r="B203" s="9" t="s">
        <v>1306</v>
      </c>
      <c r="C203" s="3"/>
      <c r="D203" s="3" t="s">
        <v>1391</v>
      </c>
      <c r="E203" s="3" t="s">
        <v>55</v>
      </c>
      <c r="F203" s="3" t="s">
        <v>1392</v>
      </c>
      <c r="G203" s="3" t="s">
        <v>1393</v>
      </c>
      <c r="H203" s="3" t="s">
        <v>1394</v>
      </c>
      <c r="I203" s="3" t="s">
        <v>1395</v>
      </c>
      <c r="J203" s="9" t="s">
        <v>26</v>
      </c>
      <c r="K203" s="9" t="s">
        <v>1396</v>
      </c>
      <c r="L203" s="9" t="s">
        <v>1397</v>
      </c>
      <c r="M203" s="9" t="s">
        <v>784</v>
      </c>
      <c r="N203" s="9">
        <v>0</v>
      </c>
      <c r="O203" s="3"/>
      <c r="P203" s="3"/>
      <c r="Q203" s="12" t="str">
        <f>HYPERLINK("https://drive.google.com/file/d/1RDTKmVtj7t9CgpTymf-ukc0rfJx9WszZ/view?usp=drive_link","Buka Dokumen")</f>
        <v>Buka Dokumen</v>
      </c>
      <c r="R203" s="15" t="s">
        <v>1398</v>
      </c>
    </row>
    <row r="204" spans="1:18" ht="126.75" customHeight="1">
      <c r="A204" s="6">
        <v>202</v>
      </c>
      <c r="B204" s="9" t="s">
        <v>1306</v>
      </c>
      <c r="C204" s="3"/>
      <c r="D204" s="3" t="s">
        <v>1399</v>
      </c>
      <c r="E204" s="3" t="s">
        <v>55</v>
      </c>
      <c r="F204" s="3" t="s">
        <v>1400</v>
      </c>
      <c r="G204" s="3" t="s">
        <v>1401</v>
      </c>
      <c r="H204" s="3" t="s">
        <v>1402</v>
      </c>
      <c r="I204" s="3"/>
      <c r="J204" s="9" t="s">
        <v>60</v>
      </c>
      <c r="K204" s="9" t="s">
        <v>1403</v>
      </c>
      <c r="L204" s="9" t="s">
        <v>1404</v>
      </c>
      <c r="M204" s="9" t="s">
        <v>784</v>
      </c>
      <c r="N204" s="9">
        <v>0</v>
      </c>
      <c r="O204" s="3"/>
      <c r="P204" s="3"/>
      <c r="Q204" s="12" t="str">
        <f>HYPERLINK("https://drive.google.com/file/d/15XYVQ4qol1wYVTyDN-KxTpctvCc4jks2/view?usp=drive_link","Buka Dokumen")</f>
        <v>Buka Dokumen</v>
      </c>
      <c r="R204" s="15" t="s">
        <v>1405</v>
      </c>
    </row>
    <row r="205" spans="1:18" ht="126.75" customHeight="1">
      <c r="A205" s="6">
        <v>203</v>
      </c>
      <c r="B205" s="9" t="s">
        <v>1306</v>
      </c>
      <c r="C205" s="3"/>
      <c r="D205" s="3" t="s">
        <v>1406</v>
      </c>
      <c r="E205" s="3" t="s">
        <v>55</v>
      </c>
      <c r="F205" s="3" t="s">
        <v>1407</v>
      </c>
      <c r="G205" s="3" t="s">
        <v>1408</v>
      </c>
      <c r="H205" s="3" t="s">
        <v>1409</v>
      </c>
      <c r="I205" s="3" t="s">
        <v>1410</v>
      </c>
      <c r="J205" s="9" t="s">
        <v>420</v>
      </c>
      <c r="K205" s="9" t="s">
        <v>1411</v>
      </c>
      <c r="L205" s="9" t="s">
        <v>1037</v>
      </c>
      <c r="M205" s="9" t="s">
        <v>784</v>
      </c>
      <c r="N205" s="9">
        <v>0</v>
      </c>
      <c r="O205" s="3"/>
      <c r="P205" s="3"/>
      <c r="Q205" s="12" t="str">
        <f>HYPERLINK("https://drive.google.com/file/d/1e5NNeXMYwZs6QGGOyGd7WPYv8s3mTmlI/view?usp=drive_link","Buka Dokumen")</f>
        <v>Buka Dokumen</v>
      </c>
      <c r="R205" s="15" t="s">
        <v>1412</v>
      </c>
    </row>
    <row r="206" spans="1:18" ht="126.75" customHeight="1">
      <c r="A206" s="6">
        <v>204</v>
      </c>
      <c r="B206" s="9" t="s">
        <v>1306</v>
      </c>
      <c r="C206" s="3"/>
      <c r="D206" s="3" t="s">
        <v>1413</v>
      </c>
      <c r="E206" s="3" t="s">
        <v>55</v>
      </c>
      <c r="F206" s="3" t="s">
        <v>1414</v>
      </c>
      <c r="G206" s="3" t="s">
        <v>1415</v>
      </c>
      <c r="H206" s="3" t="s">
        <v>1416</v>
      </c>
      <c r="I206" s="3" t="s">
        <v>1417</v>
      </c>
      <c r="J206" s="9" t="s">
        <v>26</v>
      </c>
      <c r="K206" s="9" t="s">
        <v>1418</v>
      </c>
      <c r="L206" s="9" t="s">
        <v>1419</v>
      </c>
      <c r="M206" s="9" t="s">
        <v>896</v>
      </c>
      <c r="N206" s="9">
        <v>0</v>
      </c>
      <c r="O206" s="3"/>
      <c r="P206" s="3"/>
      <c r="Q206" s="12" t="str">
        <f>HYPERLINK("https://drive.google.com/file/d/1shsM6VoiO6FN6-4oYVKOpvRJQXn9dArN/view?usp=drive_link","Buka Dokumen")</f>
        <v>Buka Dokumen</v>
      </c>
      <c r="R206" s="15" t="s">
        <v>1420</v>
      </c>
    </row>
    <row r="207" spans="1:18" ht="126.75" customHeight="1">
      <c r="A207" s="6">
        <v>205</v>
      </c>
      <c r="B207" s="9" t="s">
        <v>1306</v>
      </c>
      <c r="C207" s="3"/>
      <c r="D207" s="3" t="s">
        <v>1421</v>
      </c>
      <c r="E207" s="3" t="s">
        <v>21</v>
      </c>
      <c r="F207" s="3" t="s">
        <v>1422</v>
      </c>
      <c r="G207" s="3" t="s">
        <v>1423</v>
      </c>
      <c r="H207" s="3" t="s">
        <v>1424</v>
      </c>
      <c r="I207" s="3" t="s">
        <v>1425</v>
      </c>
      <c r="J207" s="9" t="s">
        <v>60</v>
      </c>
      <c r="K207" s="9" t="s">
        <v>1426</v>
      </c>
      <c r="L207" s="9" t="s">
        <v>1427</v>
      </c>
      <c r="M207" s="9" t="s">
        <v>784</v>
      </c>
      <c r="N207" s="9">
        <v>0</v>
      </c>
      <c r="O207" s="3"/>
      <c r="P207" s="3"/>
      <c r="Q207" s="12" t="str">
        <f>HYPERLINK("https://drive.google.com/file/d/1jjR3IpqcX4wpY8pkLQTVwmyQ-Rp0W4Bx/view?usp=drive_link","Buka Dokumen")</f>
        <v>Buka Dokumen</v>
      </c>
      <c r="R207" s="15" t="s">
        <v>1428</v>
      </c>
    </row>
    <row r="208" spans="1:18" ht="126.75" customHeight="1">
      <c r="A208" s="6">
        <v>206</v>
      </c>
      <c r="B208" s="9" t="s">
        <v>1306</v>
      </c>
      <c r="C208" s="3"/>
      <c r="D208" s="3" t="s">
        <v>588</v>
      </c>
      <c r="E208" s="3" t="s">
        <v>55</v>
      </c>
      <c r="F208" s="3" t="s">
        <v>1014</v>
      </c>
      <c r="G208" s="3" t="s">
        <v>1429</v>
      </c>
      <c r="H208" s="3" t="s">
        <v>1430</v>
      </c>
      <c r="I208" s="3" t="s">
        <v>1431</v>
      </c>
      <c r="J208" s="9" t="s">
        <v>26</v>
      </c>
      <c r="K208" s="9" t="s">
        <v>1432</v>
      </c>
      <c r="L208" s="9" t="s">
        <v>1433</v>
      </c>
      <c r="M208" s="9" t="s">
        <v>784</v>
      </c>
      <c r="N208" s="9">
        <v>0</v>
      </c>
      <c r="O208" s="3"/>
      <c r="P208" s="3"/>
      <c r="Q208" s="12" t="str">
        <f>HYPERLINK("https://drive.google.com/file/d/1iSMciGmH8ntSUhyaeL5-ELGP0VC2Ldwd/view?usp=drive_link","Buka Dokumen")</f>
        <v>Buka Dokumen</v>
      </c>
      <c r="R208" s="15" t="s">
        <v>1434</v>
      </c>
    </row>
    <row r="209" spans="1:18" ht="126.75" customHeight="1">
      <c r="A209" s="6">
        <v>207</v>
      </c>
      <c r="B209" s="9" t="s">
        <v>1306</v>
      </c>
      <c r="C209" s="3"/>
      <c r="D209" s="3" t="s">
        <v>1435</v>
      </c>
      <c r="E209" s="3" t="s">
        <v>35</v>
      </c>
      <c r="F209" s="3" t="s">
        <v>22</v>
      </c>
      <c r="G209" s="3" t="s">
        <v>1436</v>
      </c>
      <c r="H209" s="3" t="s">
        <v>1437</v>
      </c>
      <c r="I209" s="3" t="s">
        <v>1438</v>
      </c>
      <c r="J209" s="9" t="s">
        <v>26</v>
      </c>
      <c r="K209" s="9" t="s">
        <v>1439</v>
      </c>
      <c r="L209" s="9" t="s">
        <v>1440</v>
      </c>
      <c r="M209" s="9" t="s">
        <v>784</v>
      </c>
      <c r="N209" s="9">
        <v>0</v>
      </c>
      <c r="O209" s="3"/>
      <c r="P209" s="3"/>
      <c r="Q209" s="12" t="str">
        <f>HYPERLINK("https://drive.google.com/file/d/18fxyd_EbULlTPv3SlJQK4P8LmdixcQfF/view?usp=drive_link","Buka Dokumen")</f>
        <v>Buka Dokumen</v>
      </c>
      <c r="R209" s="15" t="s">
        <v>1441</v>
      </c>
    </row>
    <row r="210" spans="1:18" ht="126.75" customHeight="1">
      <c r="A210" s="6">
        <v>208</v>
      </c>
      <c r="B210" s="9" t="s">
        <v>1306</v>
      </c>
      <c r="C210" s="3"/>
      <c r="D210" s="3" t="s">
        <v>345</v>
      </c>
      <c r="E210" s="3" t="s">
        <v>21</v>
      </c>
      <c r="F210" s="3" t="s">
        <v>22</v>
      </c>
      <c r="G210" s="3" t="s">
        <v>1442</v>
      </c>
      <c r="H210" s="3" t="s">
        <v>1443</v>
      </c>
      <c r="I210" s="3" t="s">
        <v>1444</v>
      </c>
      <c r="J210" s="9" t="s">
        <v>26</v>
      </c>
      <c r="K210" s="9" t="s">
        <v>1445</v>
      </c>
      <c r="L210" s="9" t="s">
        <v>1446</v>
      </c>
      <c r="M210" s="9" t="s">
        <v>784</v>
      </c>
      <c r="N210" s="9">
        <v>0</v>
      </c>
      <c r="O210" s="3"/>
      <c r="P210" s="3"/>
      <c r="Q210" s="12" t="str">
        <f>HYPERLINK("https://drive.google.com/file/d/1aNypabo7sICCVPnKaEMSBJivuMPQYca_/view?usp=drive_link","Buka Dokumen")</f>
        <v>Buka Dokumen</v>
      </c>
      <c r="R210" s="15" t="s">
        <v>1447</v>
      </c>
    </row>
    <row r="211" spans="1:18" ht="126.75" customHeight="1">
      <c r="A211" s="6">
        <v>209</v>
      </c>
      <c r="B211" s="9" t="s">
        <v>1306</v>
      </c>
      <c r="C211" s="3"/>
      <c r="D211" s="3" t="s">
        <v>305</v>
      </c>
      <c r="E211" s="3" t="s">
        <v>21</v>
      </c>
      <c r="F211" s="3" t="s">
        <v>22</v>
      </c>
      <c r="G211" s="3" t="s">
        <v>1448</v>
      </c>
      <c r="H211" s="3" t="s">
        <v>1449</v>
      </c>
      <c r="I211" s="3" t="s">
        <v>1450</v>
      </c>
      <c r="J211" s="9" t="s">
        <v>26</v>
      </c>
      <c r="K211" s="9" t="s">
        <v>1451</v>
      </c>
      <c r="L211" s="9" t="s">
        <v>1452</v>
      </c>
      <c r="M211" s="9" t="s">
        <v>784</v>
      </c>
      <c r="N211" s="9">
        <v>0</v>
      </c>
      <c r="O211" s="3"/>
      <c r="P211" s="3"/>
      <c r="Q211" s="12" t="str">
        <f>HYPERLINK("https://drive.google.com/file/d/10HXxjaQVumZ295Gg2wFrO7siR84p1Pg6/view?usp=drive_link","Buka Dokumen")</f>
        <v>Buka Dokumen</v>
      </c>
      <c r="R211" s="15" t="s">
        <v>1453</v>
      </c>
    </row>
    <row r="212" spans="1:18" ht="126.75" customHeight="1">
      <c r="A212" s="6">
        <v>210</v>
      </c>
      <c r="B212" s="9" t="s">
        <v>1306</v>
      </c>
      <c r="C212" s="3"/>
      <c r="D212" s="3" t="s">
        <v>1454</v>
      </c>
      <c r="E212" s="3" t="s">
        <v>55</v>
      </c>
      <c r="F212" s="3" t="s">
        <v>453</v>
      </c>
      <c r="G212" s="3" t="s">
        <v>1455</v>
      </c>
      <c r="H212" s="3" t="s">
        <v>1456</v>
      </c>
      <c r="I212" s="3" t="s">
        <v>1457</v>
      </c>
      <c r="J212" s="9" t="s">
        <v>420</v>
      </c>
      <c r="K212" s="9" t="s">
        <v>1458</v>
      </c>
      <c r="L212" s="9" t="s">
        <v>1459</v>
      </c>
      <c r="M212" s="9" t="s">
        <v>784</v>
      </c>
      <c r="N212" s="9">
        <v>0</v>
      </c>
      <c r="O212" s="3"/>
      <c r="P212" s="3"/>
      <c r="Q212" s="12" t="str">
        <f>HYPERLINK("https://drive.google.com/file/d/18bxaxYLKGvac8LFVyL42Dle64qHnSTcc/view?usp=drive_link","Buka Dokumen")</f>
        <v>Buka Dokumen</v>
      </c>
      <c r="R212" s="15" t="s">
        <v>1460</v>
      </c>
    </row>
    <row r="213" spans="1:18" ht="126.75" customHeight="1">
      <c r="A213" s="6">
        <v>211</v>
      </c>
      <c r="B213" s="9" t="s">
        <v>1306</v>
      </c>
      <c r="C213" s="3"/>
      <c r="D213" s="3" t="s">
        <v>1461</v>
      </c>
      <c r="E213" s="3" t="s">
        <v>35</v>
      </c>
      <c r="F213" s="3" t="s">
        <v>22</v>
      </c>
      <c r="G213" s="3" t="s">
        <v>1462</v>
      </c>
      <c r="H213" s="3" t="s">
        <v>1463</v>
      </c>
      <c r="I213" s="3" t="s">
        <v>1464</v>
      </c>
      <c r="J213" s="9" t="s">
        <v>26</v>
      </c>
      <c r="K213" s="9" t="s">
        <v>1465</v>
      </c>
      <c r="L213" s="9" t="s">
        <v>1466</v>
      </c>
      <c r="M213" s="9" t="s">
        <v>784</v>
      </c>
      <c r="N213" s="9">
        <v>0</v>
      </c>
      <c r="O213" s="3"/>
      <c r="P213" s="3"/>
      <c r="Q213" s="12" t="str">
        <f>HYPERLINK("https://drive.google.com/file/d/1r5ePGxu391qLt8MZGJjCtCZZCNI-x-3f/view?usp=drive_link","Buka Dokumen")</f>
        <v>Buka Dokumen</v>
      </c>
      <c r="R213" s="15" t="s">
        <v>1467</v>
      </c>
    </row>
    <row r="214" spans="1:18" ht="126.75" customHeight="1">
      <c r="A214" s="6">
        <v>212</v>
      </c>
      <c r="B214" s="9" t="s">
        <v>1306</v>
      </c>
      <c r="C214" s="3"/>
      <c r="D214" s="3" t="s">
        <v>868</v>
      </c>
      <c r="E214" s="3" t="s">
        <v>21</v>
      </c>
      <c r="F214" s="3" t="s">
        <v>22</v>
      </c>
      <c r="G214" s="3" t="s">
        <v>1468</v>
      </c>
      <c r="H214" s="3" t="s">
        <v>1469</v>
      </c>
      <c r="I214" s="3" t="s">
        <v>1470</v>
      </c>
      <c r="J214" s="9" t="s">
        <v>60</v>
      </c>
      <c r="K214" s="9" t="s">
        <v>1471</v>
      </c>
      <c r="L214" s="9" t="s">
        <v>1472</v>
      </c>
      <c r="M214" s="9" t="s">
        <v>784</v>
      </c>
      <c r="N214" s="9">
        <v>0</v>
      </c>
      <c r="O214" s="3"/>
      <c r="P214" s="3"/>
      <c r="Q214" s="12" t="str">
        <f>HYPERLINK("https://drive.google.com/file/d/1kU6OF0WWtFPWDfzYFZBR1kiDoefV8sO_/view?usp=drive_link","Buka Dokumen")</f>
        <v>Buka Dokumen</v>
      </c>
      <c r="R214" s="15" t="s">
        <v>1473</v>
      </c>
    </row>
    <row r="215" spans="1:18" ht="126.75" customHeight="1">
      <c r="A215" s="6">
        <v>213</v>
      </c>
      <c r="B215" s="9" t="s">
        <v>1306</v>
      </c>
      <c r="C215" s="3"/>
      <c r="D215" s="3" t="s">
        <v>1474</v>
      </c>
      <c r="E215" s="3" t="s">
        <v>21</v>
      </c>
      <c r="F215" s="3" t="s">
        <v>22</v>
      </c>
      <c r="G215" s="3" t="s">
        <v>1475</v>
      </c>
      <c r="H215" s="3" t="s">
        <v>1476</v>
      </c>
      <c r="I215" s="3" t="s">
        <v>1477</v>
      </c>
      <c r="J215" s="9" t="s">
        <v>420</v>
      </c>
      <c r="K215" s="9" t="s">
        <v>1478</v>
      </c>
      <c r="L215" s="9" t="s">
        <v>1479</v>
      </c>
      <c r="M215" s="9" t="s">
        <v>784</v>
      </c>
      <c r="N215" s="9">
        <v>0</v>
      </c>
      <c r="O215" s="3"/>
      <c r="P215" s="3"/>
      <c r="Q215" s="12" t="str">
        <f>HYPERLINK("https://drive.google.com/file/d/1TBVnBVhuClmRgJ-kYElIKeoyto6oSE3S/view?usp=drive_link","Buka Dokumen")</f>
        <v>Buka Dokumen</v>
      </c>
      <c r="R215" s="15" t="s">
        <v>1480</v>
      </c>
    </row>
    <row r="216" spans="1:18" ht="126.75" customHeight="1">
      <c r="A216" s="6">
        <v>214</v>
      </c>
      <c r="B216" s="9" t="s">
        <v>1306</v>
      </c>
      <c r="C216" s="3"/>
      <c r="D216" s="3" t="s">
        <v>1481</v>
      </c>
      <c r="E216" s="3" t="s">
        <v>55</v>
      </c>
      <c r="F216" s="3" t="s">
        <v>1128</v>
      </c>
      <c r="G216" s="3" t="s">
        <v>1482</v>
      </c>
      <c r="H216" s="3" t="s">
        <v>1483</v>
      </c>
      <c r="I216" s="3" t="s">
        <v>1484</v>
      </c>
      <c r="J216" s="9"/>
      <c r="K216" s="9" t="s">
        <v>1485</v>
      </c>
      <c r="L216" s="9" t="s">
        <v>1486</v>
      </c>
      <c r="M216" s="9" t="s">
        <v>784</v>
      </c>
      <c r="N216" s="9">
        <v>0</v>
      </c>
      <c r="O216" s="3"/>
      <c r="P216" s="3"/>
      <c r="Q216" s="12" t="str">
        <f>HYPERLINK("https://drive.google.com/file/d/1Dwg1ftHUutinLbWF9Y4NXhxEuZE_KGLD/view?usp=drive_link","Buka Dokumen")</f>
        <v>Buka Dokumen</v>
      </c>
      <c r="R216" s="15" t="s">
        <v>1487</v>
      </c>
    </row>
    <row r="217" spans="1:18" ht="126.75" customHeight="1">
      <c r="A217" s="6">
        <v>215</v>
      </c>
      <c r="B217" s="9" t="s">
        <v>1306</v>
      </c>
      <c r="C217" s="3"/>
      <c r="D217" s="3" t="s">
        <v>1488</v>
      </c>
      <c r="E217" s="3" t="s">
        <v>55</v>
      </c>
      <c r="F217" s="3" t="s">
        <v>148</v>
      </c>
      <c r="G217" s="3" t="s">
        <v>1489</v>
      </c>
      <c r="H217" s="3" t="s">
        <v>1490</v>
      </c>
      <c r="I217" s="3" t="s">
        <v>1491</v>
      </c>
      <c r="J217" s="9"/>
      <c r="K217" s="9" t="s">
        <v>1478</v>
      </c>
      <c r="L217" s="9"/>
      <c r="M217" s="9"/>
      <c r="N217" s="9">
        <v>0</v>
      </c>
      <c r="O217" s="3"/>
      <c r="P217" s="3"/>
      <c r="Q217" s="12" t="str">
        <f>HYPERLINK("https://drive.google.com/file/d/1Q57OCBW5yIMZXjVlOi2cLF2rCoL9Dx7Z/view?usp=drive_link","Buka Dokumen")</f>
        <v>Buka Dokumen</v>
      </c>
      <c r="R217" s="15" t="s">
        <v>1492</v>
      </c>
    </row>
    <row r="218" spans="1:18" ht="126.75" customHeight="1">
      <c r="A218" s="6">
        <v>216</v>
      </c>
      <c r="B218" s="9" t="s">
        <v>1306</v>
      </c>
      <c r="C218" s="3"/>
      <c r="D218" s="3" t="s">
        <v>1493</v>
      </c>
      <c r="E218" s="3" t="s">
        <v>21</v>
      </c>
      <c r="F218" s="3" t="s">
        <v>56</v>
      </c>
      <c r="G218" s="3" t="s">
        <v>1494</v>
      </c>
      <c r="H218" s="3" t="s">
        <v>1495</v>
      </c>
      <c r="I218" s="3" t="s">
        <v>1496</v>
      </c>
      <c r="J218" s="9" t="s">
        <v>60</v>
      </c>
      <c r="K218" s="9" t="s">
        <v>1497</v>
      </c>
      <c r="L218" s="9" t="s">
        <v>1498</v>
      </c>
      <c r="M218" s="9" t="s">
        <v>784</v>
      </c>
      <c r="N218" s="9">
        <v>0</v>
      </c>
      <c r="O218" s="3"/>
      <c r="P218" s="3"/>
      <c r="Q218" s="12" t="str">
        <f>HYPERLINK("https://drive.google.com/file/d/1bVbgunScSyGNlRUEBOURJ4FT0Wff0_qE/view?usp=drive_link","Buka Dokumen")</f>
        <v>Buka Dokumen</v>
      </c>
      <c r="R218" s="15" t="s">
        <v>1499</v>
      </c>
    </row>
    <row r="219" spans="1:18" ht="126.75" customHeight="1">
      <c r="A219" s="6">
        <v>217</v>
      </c>
      <c r="B219" s="9" t="s">
        <v>1306</v>
      </c>
      <c r="C219" s="3"/>
      <c r="D219" s="3" t="s">
        <v>1500</v>
      </c>
      <c r="E219" s="3" t="s">
        <v>35</v>
      </c>
      <c r="F219" s="3" t="s">
        <v>56</v>
      </c>
      <c r="G219" s="3" t="s">
        <v>1501</v>
      </c>
      <c r="H219" s="3" t="s">
        <v>942</v>
      </c>
      <c r="I219" s="3" t="s">
        <v>1502</v>
      </c>
      <c r="J219" s="9" t="s">
        <v>60</v>
      </c>
      <c r="K219" s="9" t="s">
        <v>1503</v>
      </c>
      <c r="L219" s="9" t="s">
        <v>1504</v>
      </c>
      <c r="M219" s="9" t="s">
        <v>784</v>
      </c>
      <c r="N219" s="9">
        <v>0</v>
      </c>
      <c r="O219" s="3"/>
      <c r="P219" s="3"/>
      <c r="Q219" s="12" t="str">
        <f>HYPERLINK("https://drive.google.com/file/d/1dUDcMQNhIzq3uBwYJhCF6VVBsqZbxWVj/view?usp=drive_link","Buka Dokumen")</f>
        <v>Buka Dokumen</v>
      </c>
      <c r="R219" s="15" t="s">
        <v>1505</v>
      </c>
    </row>
    <row r="220" spans="1:18" ht="126.75" customHeight="1">
      <c r="A220" s="6">
        <v>218</v>
      </c>
      <c r="B220" s="9" t="s">
        <v>1306</v>
      </c>
      <c r="C220" s="3"/>
      <c r="D220" s="3" t="s">
        <v>1506</v>
      </c>
      <c r="E220" s="3" t="s">
        <v>35</v>
      </c>
      <c r="F220" s="3" t="s">
        <v>56</v>
      </c>
      <c r="G220" s="3" t="s">
        <v>1507</v>
      </c>
      <c r="H220" s="3" t="s">
        <v>942</v>
      </c>
      <c r="I220" s="3" t="s">
        <v>1508</v>
      </c>
      <c r="J220" s="9" t="s">
        <v>60</v>
      </c>
      <c r="K220" s="9" t="s">
        <v>1339</v>
      </c>
      <c r="L220" s="9" t="s">
        <v>1509</v>
      </c>
      <c r="M220" s="9" t="s">
        <v>784</v>
      </c>
      <c r="N220" s="9">
        <v>0</v>
      </c>
      <c r="O220" s="3"/>
      <c r="P220" s="3"/>
      <c r="Q220" s="12" t="str">
        <f>HYPERLINK("https://drive.google.com/file/d/13EHVEcW1dORnmI1SKBb1V0WB3qVrn9w0/view?usp=drive_link","Buka Dokumen")</f>
        <v>Buka Dokumen</v>
      </c>
      <c r="R220" s="15" t="s">
        <v>1510</v>
      </c>
    </row>
    <row r="221" spans="1:18" ht="126.75" customHeight="1">
      <c r="A221" s="6">
        <v>219</v>
      </c>
      <c r="B221" s="9" t="s">
        <v>1306</v>
      </c>
      <c r="C221" s="3"/>
      <c r="D221" s="3" t="s">
        <v>1511</v>
      </c>
      <c r="E221" s="3" t="s">
        <v>55</v>
      </c>
      <c r="F221" s="3" t="s">
        <v>56</v>
      </c>
      <c r="G221" s="3" t="s">
        <v>1512</v>
      </c>
      <c r="H221" s="3" t="s">
        <v>1513</v>
      </c>
      <c r="I221" s="3" t="s">
        <v>1514</v>
      </c>
      <c r="J221" s="9" t="s">
        <v>60</v>
      </c>
      <c r="K221" s="9" t="s">
        <v>1515</v>
      </c>
      <c r="L221" s="9" t="s">
        <v>1516</v>
      </c>
      <c r="M221" s="9" t="s">
        <v>784</v>
      </c>
      <c r="N221" s="9">
        <v>0</v>
      </c>
      <c r="O221" s="3"/>
      <c r="P221" s="3"/>
      <c r="Q221" s="12" t="str">
        <f>HYPERLINK("https://drive.google.com/file/d/1sUzb6pTnDj5BbtbpDFGIjTInhvcWgFIV/view?usp=drive_link","Buka Dokumen")</f>
        <v>Buka Dokumen</v>
      </c>
      <c r="R221" s="15" t="s">
        <v>1517</v>
      </c>
    </row>
    <row r="222" spans="1:18" ht="126.75" customHeight="1">
      <c r="A222" s="6">
        <v>220</v>
      </c>
      <c r="B222" s="9" t="s">
        <v>1306</v>
      </c>
      <c r="C222" s="3"/>
      <c r="D222" s="3" t="s">
        <v>1518</v>
      </c>
      <c r="E222" s="3" t="s">
        <v>55</v>
      </c>
      <c r="F222" s="3" t="s">
        <v>56</v>
      </c>
      <c r="G222" s="3" t="s">
        <v>1519</v>
      </c>
      <c r="H222" s="3" t="s">
        <v>1520</v>
      </c>
      <c r="I222" s="3" t="s">
        <v>1521</v>
      </c>
      <c r="J222" s="9" t="s">
        <v>60</v>
      </c>
      <c r="K222" s="9" t="s">
        <v>1522</v>
      </c>
      <c r="L222" s="9" t="s">
        <v>1523</v>
      </c>
      <c r="M222" s="9" t="s">
        <v>784</v>
      </c>
      <c r="N222" s="9">
        <v>0</v>
      </c>
      <c r="O222" s="3"/>
      <c r="P222" s="3"/>
      <c r="Q222" s="12" t="str">
        <f>HYPERLINK("https://drive.google.com/file/d/1kBAAJce7Mgs7Q2it6JzPkSl-OxD6SdEk/view?usp=drive_link","Buka Dokumen")</f>
        <v>Buka Dokumen</v>
      </c>
      <c r="R222" s="15" t="s">
        <v>1524</v>
      </c>
    </row>
    <row r="223" spans="1:18" ht="126.75" customHeight="1">
      <c r="A223" s="6">
        <v>221</v>
      </c>
      <c r="B223" s="9" t="s">
        <v>1525</v>
      </c>
      <c r="C223" s="3"/>
      <c r="D223" s="3" t="s">
        <v>1153</v>
      </c>
      <c r="E223" s="3" t="s">
        <v>55</v>
      </c>
      <c r="F223" s="3" t="s">
        <v>1526</v>
      </c>
      <c r="G223" s="3" t="s">
        <v>1527</v>
      </c>
      <c r="H223" s="3" t="s">
        <v>1528</v>
      </c>
      <c r="I223" s="3" t="s">
        <v>1529</v>
      </c>
      <c r="J223" s="9"/>
      <c r="K223" s="9" t="s">
        <v>1530</v>
      </c>
      <c r="L223" s="9" t="s">
        <v>1531</v>
      </c>
      <c r="M223" s="9" t="s">
        <v>784</v>
      </c>
      <c r="N223" s="9">
        <v>0</v>
      </c>
      <c r="O223" s="3"/>
      <c r="P223" s="3"/>
      <c r="Q223" s="12" t="str">
        <f>HYPERLINK("https://drive.google.com/file/d/1RZuSivXSbxBqj1TJZnOLZsVOb2g5fbJ9/view?usp=drive_link","Buka Dokumen")</f>
        <v>Buka Dokumen</v>
      </c>
      <c r="R223" s="15" t="s">
        <v>1532</v>
      </c>
    </row>
    <row r="224" spans="1:18" ht="126.75" customHeight="1">
      <c r="A224" s="6">
        <v>222</v>
      </c>
      <c r="B224" s="9" t="s">
        <v>1525</v>
      </c>
      <c r="C224" s="3"/>
      <c r="D224" s="3" t="s">
        <v>1120</v>
      </c>
      <c r="E224" s="3" t="s">
        <v>55</v>
      </c>
      <c r="F224" s="3" t="s">
        <v>1533</v>
      </c>
      <c r="G224" s="3" t="s">
        <v>1534</v>
      </c>
      <c r="H224" s="3" t="s">
        <v>1535</v>
      </c>
      <c r="I224" s="3" t="s">
        <v>1536</v>
      </c>
      <c r="J224" s="9" t="s">
        <v>26</v>
      </c>
      <c r="K224" s="9" t="s">
        <v>1537</v>
      </c>
      <c r="L224" s="9" t="s">
        <v>1538</v>
      </c>
      <c r="M224" s="9" t="s">
        <v>784</v>
      </c>
      <c r="N224" s="9">
        <v>0</v>
      </c>
      <c r="O224" s="3"/>
      <c r="P224" s="3"/>
      <c r="Q224" s="12" t="str">
        <f>HYPERLINK("https://drive.google.com/file/d/1WoCJe4-cquw7M9v6Hks6mFkMIrlD4xhP/view?usp=drive_link","Buka Dokumen")</f>
        <v>Buka Dokumen</v>
      </c>
      <c r="R224" s="15" t="s">
        <v>1539</v>
      </c>
    </row>
    <row r="225" spans="1:18" ht="126.75" customHeight="1">
      <c r="A225" s="6">
        <v>223</v>
      </c>
      <c r="B225" s="9" t="s">
        <v>1525</v>
      </c>
      <c r="C225" s="3"/>
      <c r="D225" s="3" t="s">
        <v>1540</v>
      </c>
      <c r="E225" s="3" t="s">
        <v>55</v>
      </c>
      <c r="F225" s="3" t="s">
        <v>1541</v>
      </c>
      <c r="G225" s="3" t="s">
        <v>1542</v>
      </c>
      <c r="H225" s="3" t="s">
        <v>56</v>
      </c>
      <c r="I225" s="3" t="s">
        <v>1543</v>
      </c>
      <c r="J225" s="9" t="s">
        <v>26</v>
      </c>
      <c r="K225" s="9" t="s">
        <v>1544</v>
      </c>
      <c r="L225" s="9" t="s">
        <v>1545</v>
      </c>
      <c r="M225" s="9" t="s">
        <v>784</v>
      </c>
      <c r="N225" s="9">
        <v>0</v>
      </c>
      <c r="O225" s="3"/>
      <c r="P225" s="3"/>
      <c r="Q225" s="12" t="str">
        <f>HYPERLINK("https://drive.google.com/file/d/1io-7-4NMO1QNGUi7rfbgW5UllyOaPmwN/view?usp=drive_link","Buka Dokumen")</f>
        <v>Buka Dokumen</v>
      </c>
      <c r="R225" s="15" t="s">
        <v>1546</v>
      </c>
    </row>
    <row r="226" spans="1:18" ht="126.75" customHeight="1">
      <c r="A226" s="6">
        <v>224</v>
      </c>
      <c r="B226" s="9" t="s">
        <v>1525</v>
      </c>
      <c r="C226" s="3"/>
      <c r="D226" s="3" t="s">
        <v>830</v>
      </c>
      <c r="E226" s="3" t="s">
        <v>55</v>
      </c>
      <c r="F226" s="3" t="s">
        <v>1547</v>
      </c>
      <c r="G226" s="3" t="s">
        <v>1548</v>
      </c>
      <c r="H226" s="3" t="s">
        <v>713</v>
      </c>
      <c r="I226" s="3" t="s">
        <v>1549</v>
      </c>
      <c r="J226" s="9" t="s">
        <v>60</v>
      </c>
      <c r="K226" s="9" t="s">
        <v>1550</v>
      </c>
      <c r="L226" s="9" t="s">
        <v>1551</v>
      </c>
      <c r="M226" s="9" t="s">
        <v>784</v>
      </c>
      <c r="N226" s="9">
        <v>0</v>
      </c>
      <c r="O226" s="3"/>
      <c r="P226" s="3"/>
      <c r="Q226" s="12" t="str">
        <f>HYPERLINK("https://drive.google.com/drive/folders/1StF072uFgAhfGrQT-Bzt-qgpchSRc-1c?usp=drive_link","Buka Dokumen")</f>
        <v>Buka Dokumen</v>
      </c>
      <c r="R226" s="15" t="s">
        <v>1552</v>
      </c>
    </row>
    <row r="227" spans="1:18" ht="126.75" customHeight="1">
      <c r="A227" s="6">
        <v>225</v>
      </c>
      <c r="B227" s="9" t="s">
        <v>1525</v>
      </c>
      <c r="C227" s="3"/>
      <c r="D227" s="3" t="s">
        <v>1553</v>
      </c>
      <c r="E227" s="3" t="s">
        <v>55</v>
      </c>
      <c r="F227" s="3" t="s">
        <v>1343</v>
      </c>
      <c r="G227" s="3" t="s">
        <v>1554</v>
      </c>
      <c r="H227" s="3" t="s">
        <v>1555</v>
      </c>
      <c r="I227" s="3"/>
      <c r="J227" s="9" t="s">
        <v>60</v>
      </c>
      <c r="K227" s="9" t="s">
        <v>1556</v>
      </c>
      <c r="L227" s="9" t="s">
        <v>1557</v>
      </c>
      <c r="M227" s="9" t="s">
        <v>784</v>
      </c>
      <c r="N227" s="9">
        <v>0</v>
      </c>
      <c r="O227" s="3"/>
      <c r="P227" s="3"/>
      <c r="Q227" s="12" t="str">
        <f>HYPERLINK("https://drive.google.com/file/d/1mHf_Z4nhfWHhvZek3_QLA5x2HVrlKAoE/view?usp=drive_link","Buka Dokumen")</f>
        <v>Buka Dokumen</v>
      </c>
      <c r="R227" s="15" t="s">
        <v>1558</v>
      </c>
    </row>
    <row r="228" spans="1:18" ht="126.75" customHeight="1">
      <c r="A228" s="6">
        <v>226</v>
      </c>
      <c r="B228" s="9" t="s">
        <v>1525</v>
      </c>
      <c r="C228" s="3"/>
      <c r="D228" s="3" t="s">
        <v>1559</v>
      </c>
      <c r="E228" s="3" t="s">
        <v>55</v>
      </c>
      <c r="F228" s="3" t="s">
        <v>1560</v>
      </c>
      <c r="G228" s="3" t="s">
        <v>1561</v>
      </c>
      <c r="H228" s="3" t="s">
        <v>1562</v>
      </c>
      <c r="I228" s="3" t="s">
        <v>1563</v>
      </c>
      <c r="J228" s="9" t="s">
        <v>60</v>
      </c>
      <c r="K228" s="9" t="s">
        <v>1564</v>
      </c>
      <c r="L228" s="9" t="s">
        <v>1565</v>
      </c>
      <c r="M228" s="9" t="s">
        <v>784</v>
      </c>
      <c r="N228" s="9">
        <v>0</v>
      </c>
      <c r="O228" s="3"/>
      <c r="P228" s="3"/>
      <c r="Q228" s="12" t="str">
        <f>HYPERLINK("https://drive.google.com/file/d/1_kD9f72I8GcYV8ChH1w401y1WJt1Xhf9/view?usp=drive_link","Buka Dokumen")</f>
        <v>Buka Dokumen</v>
      </c>
      <c r="R228" s="15" t="s">
        <v>1566</v>
      </c>
    </row>
    <row r="229" spans="1:18" ht="126.75" customHeight="1">
      <c r="A229" s="6">
        <v>227</v>
      </c>
      <c r="B229" s="9" t="s">
        <v>1525</v>
      </c>
      <c r="C229" s="3"/>
      <c r="D229" s="3" t="s">
        <v>1567</v>
      </c>
      <c r="E229" s="3" t="s">
        <v>35</v>
      </c>
      <c r="F229" s="3" t="s">
        <v>1568</v>
      </c>
      <c r="G229" s="3" t="s">
        <v>1569</v>
      </c>
      <c r="H229" s="3" t="s">
        <v>22</v>
      </c>
      <c r="I229" s="3" t="s">
        <v>1570</v>
      </c>
      <c r="J229" s="9" t="s">
        <v>60</v>
      </c>
      <c r="K229" s="9" t="s">
        <v>1571</v>
      </c>
      <c r="L229" s="9" t="s">
        <v>1572</v>
      </c>
      <c r="M229" s="9" t="s">
        <v>784</v>
      </c>
      <c r="N229" s="9">
        <v>0</v>
      </c>
      <c r="O229" s="3"/>
      <c r="P229" s="3"/>
      <c r="Q229" s="12" t="str">
        <f>HYPERLINK("https://drive.google.com/file/d/1BmQHRbB8i_GbaJde0L0jAYaIvJyVY5Ge/view?usp=drive_link","Buka Dokumen")</f>
        <v>Buka Dokumen</v>
      </c>
      <c r="R229" s="15" t="s">
        <v>1573</v>
      </c>
    </row>
    <row r="230" spans="1:18" ht="126.75" customHeight="1">
      <c r="A230" s="6">
        <v>228</v>
      </c>
      <c r="B230" s="9" t="s">
        <v>1525</v>
      </c>
      <c r="C230" s="3"/>
      <c r="D230" s="3" t="s">
        <v>934</v>
      </c>
      <c r="E230" s="3" t="s">
        <v>21</v>
      </c>
      <c r="F230" s="3" t="s">
        <v>22</v>
      </c>
      <c r="G230" s="3" t="s">
        <v>1574</v>
      </c>
      <c r="H230" s="3" t="s">
        <v>1575</v>
      </c>
      <c r="I230" s="3" t="s">
        <v>1576</v>
      </c>
      <c r="J230" s="9" t="s">
        <v>60</v>
      </c>
      <c r="K230" s="9" t="s">
        <v>1577</v>
      </c>
      <c r="L230" s="9" t="s">
        <v>1578</v>
      </c>
      <c r="M230" s="9" t="s">
        <v>784</v>
      </c>
      <c r="N230" s="9">
        <v>0</v>
      </c>
      <c r="O230" s="3"/>
      <c r="P230" s="3"/>
      <c r="Q230" s="12" t="str">
        <f>HYPERLINK("https://drive.google.com/file/d/1S0h1CWFPCtCiwYfP_SI0p1QBAfc17tYx/view?usp=drive_link","Buka Dokumen")</f>
        <v>Buka Dokumen</v>
      </c>
      <c r="R230" s="15" t="s">
        <v>1579</v>
      </c>
    </row>
    <row r="231" spans="1:18" ht="126.75" customHeight="1">
      <c r="A231" s="6">
        <v>229</v>
      </c>
      <c r="B231" s="9" t="s">
        <v>1525</v>
      </c>
      <c r="C231" s="3"/>
      <c r="D231" s="3" t="s">
        <v>1580</v>
      </c>
      <c r="E231" s="3" t="s">
        <v>35</v>
      </c>
      <c r="F231" s="3" t="s">
        <v>22</v>
      </c>
      <c r="G231" s="3" t="s">
        <v>1581</v>
      </c>
      <c r="H231" s="3" t="s">
        <v>1582</v>
      </c>
      <c r="I231" s="3" t="s">
        <v>1583</v>
      </c>
      <c r="J231" s="9" t="s">
        <v>60</v>
      </c>
      <c r="K231" s="9" t="s">
        <v>1584</v>
      </c>
      <c r="L231" s="9" t="s">
        <v>1585</v>
      </c>
      <c r="M231" s="9" t="s">
        <v>784</v>
      </c>
      <c r="N231" s="9">
        <v>0</v>
      </c>
      <c r="O231" s="3"/>
      <c r="P231" s="3"/>
      <c r="Q231" s="12" t="str">
        <f>HYPERLINK("https://drive.google.com/file/d/1TkPnwjQ-A_cm6t0EgQI7i91YondycngJ/view?usp=drive_link","Buka Dokumen")</f>
        <v>Buka Dokumen</v>
      </c>
      <c r="R231" s="15" t="s">
        <v>1586</v>
      </c>
    </row>
    <row r="232" spans="1:18" ht="126.75" customHeight="1">
      <c r="A232" s="6">
        <v>230</v>
      </c>
      <c r="B232" s="9" t="s">
        <v>1525</v>
      </c>
      <c r="C232" s="3"/>
      <c r="D232" s="3" t="s">
        <v>1587</v>
      </c>
      <c r="E232" s="3" t="s">
        <v>21</v>
      </c>
      <c r="F232" s="3" t="s">
        <v>22</v>
      </c>
      <c r="G232" s="3" t="s">
        <v>1588</v>
      </c>
      <c r="H232" s="3" t="s">
        <v>1589</v>
      </c>
      <c r="I232" s="3" t="s">
        <v>1590</v>
      </c>
      <c r="J232" s="9" t="s">
        <v>60</v>
      </c>
      <c r="K232" s="9" t="s">
        <v>1564</v>
      </c>
      <c r="L232" s="9" t="s">
        <v>1565</v>
      </c>
      <c r="M232" s="9" t="s">
        <v>784</v>
      </c>
      <c r="N232" s="9">
        <v>0</v>
      </c>
      <c r="O232" s="3"/>
      <c r="P232" s="3"/>
      <c r="Q232" s="12" t="str">
        <f>HYPERLINK("https://drive.google.com/file/d/1oiaTxQGMAsu5HXKmWqebxKnKsmzKSfza/view?usp=drive_link","Buka Dokumen")</f>
        <v>Buka Dokumen</v>
      </c>
      <c r="R232" s="15" t="s">
        <v>1591</v>
      </c>
    </row>
    <row r="233" spans="1:18" ht="126.75" customHeight="1">
      <c r="A233" s="6">
        <v>231</v>
      </c>
      <c r="B233" s="9" t="s">
        <v>1525</v>
      </c>
      <c r="C233" s="3"/>
      <c r="D233" s="3" t="s">
        <v>1592</v>
      </c>
      <c r="E233" s="3" t="s">
        <v>21</v>
      </c>
      <c r="F233" s="3" t="s">
        <v>22</v>
      </c>
      <c r="G233" s="3" t="s">
        <v>1593</v>
      </c>
      <c r="H233" s="3" t="s">
        <v>1594</v>
      </c>
      <c r="I233" s="3" t="s">
        <v>1595</v>
      </c>
      <c r="J233" s="9" t="s">
        <v>60</v>
      </c>
      <c r="K233" s="9" t="s">
        <v>1596</v>
      </c>
      <c r="L233" s="9" t="s">
        <v>1597</v>
      </c>
      <c r="M233" s="9" t="s">
        <v>784</v>
      </c>
      <c r="N233" s="9">
        <v>0</v>
      </c>
      <c r="O233" s="3"/>
      <c r="P233" s="3"/>
      <c r="Q233" s="12" t="str">
        <f>HYPERLINK("https://drive.google.com/file/d/1YXV0hRDjZERE112QYvogosCS1D69cC77/view?usp=drive_link","Buka Dokumen")</f>
        <v>Buka Dokumen</v>
      </c>
      <c r="R233" s="15" t="s">
        <v>1598</v>
      </c>
    </row>
    <row r="234" spans="1:18" ht="126.75" customHeight="1">
      <c r="A234" s="6">
        <v>232</v>
      </c>
      <c r="B234" s="9" t="s">
        <v>1525</v>
      </c>
      <c r="C234" s="3"/>
      <c r="D234" s="3" t="s">
        <v>1599</v>
      </c>
      <c r="E234" s="3" t="s">
        <v>21</v>
      </c>
      <c r="F234" s="3" t="s">
        <v>22</v>
      </c>
      <c r="G234" s="3" t="s">
        <v>1600</v>
      </c>
      <c r="H234" s="3" t="s">
        <v>1601</v>
      </c>
      <c r="I234" s="3" t="s">
        <v>1602</v>
      </c>
      <c r="J234" s="9" t="s">
        <v>60</v>
      </c>
      <c r="K234" s="9" t="s">
        <v>1584</v>
      </c>
      <c r="L234" s="9" t="s">
        <v>1585</v>
      </c>
      <c r="M234" s="9" t="s">
        <v>784</v>
      </c>
      <c r="N234" s="9">
        <v>0</v>
      </c>
      <c r="O234" s="3"/>
      <c r="P234" s="3"/>
      <c r="Q234" s="12" t="str">
        <f>HYPERLINK("https://drive.google.com/file/d/1c2q2vw6sOXmNnvUvmuNJoWHzaVYDy7Dt/view?usp=share_link","Buka Dokumen")</f>
        <v>Buka Dokumen</v>
      </c>
      <c r="R234" s="15" t="s">
        <v>1603</v>
      </c>
    </row>
    <row r="235" spans="1:18" ht="126.75" customHeight="1">
      <c r="A235" s="6">
        <v>233</v>
      </c>
      <c r="B235" s="9" t="s">
        <v>1525</v>
      </c>
      <c r="C235" s="3"/>
      <c r="D235" s="3" t="s">
        <v>1604</v>
      </c>
      <c r="E235" s="3" t="s">
        <v>55</v>
      </c>
      <c r="F235" s="3" t="s">
        <v>453</v>
      </c>
      <c r="G235" s="3" t="s">
        <v>1605</v>
      </c>
      <c r="H235" s="3" t="s">
        <v>1606</v>
      </c>
      <c r="I235" s="3" t="s">
        <v>1607</v>
      </c>
      <c r="J235" s="9" t="s">
        <v>26</v>
      </c>
      <c r="K235" s="9" t="s">
        <v>1608</v>
      </c>
      <c r="L235" s="9" t="s">
        <v>1609</v>
      </c>
      <c r="M235" s="9" t="s">
        <v>784</v>
      </c>
      <c r="N235" s="9">
        <v>0</v>
      </c>
      <c r="O235" s="3"/>
      <c r="P235" s="3"/>
      <c r="Q235" s="12" t="str">
        <f>HYPERLINK("https://drive.google.com/file/d/1WssyAf_n1CETl0HJN2-OwAILqC8okMLU/view?usp=drive_link","Buka Dokumen")</f>
        <v>Buka Dokumen</v>
      </c>
      <c r="R235" s="15" t="s">
        <v>1610</v>
      </c>
    </row>
    <row r="236" spans="1:18" ht="126.75" customHeight="1">
      <c r="A236" s="6">
        <v>234</v>
      </c>
      <c r="B236" s="9" t="s">
        <v>1525</v>
      </c>
      <c r="C236" s="3"/>
      <c r="D236" s="3" t="s">
        <v>1120</v>
      </c>
      <c r="E236" s="3" t="s">
        <v>55</v>
      </c>
      <c r="F236" s="3" t="s">
        <v>453</v>
      </c>
      <c r="G236" s="3" t="s">
        <v>1611</v>
      </c>
      <c r="H236" s="3" t="s">
        <v>1535</v>
      </c>
      <c r="I236" s="3" t="s">
        <v>1612</v>
      </c>
      <c r="J236" s="9" t="s">
        <v>60</v>
      </c>
      <c r="K236" s="9" t="s">
        <v>1537</v>
      </c>
      <c r="L236" s="9" t="s">
        <v>1613</v>
      </c>
      <c r="M236" s="9" t="s">
        <v>784</v>
      </c>
      <c r="N236" s="9">
        <v>0</v>
      </c>
      <c r="O236" s="3"/>
      <c r="P236" s="3"/>
      <c r="Q236" s="12" t="str">
        <f>HYPERLINK("https://drive.google.com/file/d/1OLCNORc7MCsQP-EPCDh3YbmgbdASzW73/view?usp=drive_link","Buka Dokumen")</f>
        <v>Buka Dokumen</v>
      </c>
      <c r="R236" s="15" t="s">
        <v>1614</v>
      </c>
    </row>
    <row r="237" spans="1:18" ht="126.75" customHeight="1">
      <c r="A237" s="6">
        <v>235</v>
      </c>
      <c r="B237" s="9" t="s">
        <v>1525</v>
      </c>
      <c r="C237" s="3"/>
      <c r="D237" s="3" t="s">
        <v>1615</v>
      </c>
      <c r="E237" s="3" t="s">
        <v>55</v>
      </c>
      <c r="F237" s="3" t="s">
        <v>630</v>
      </c>
      <c r="G237" s="3" t="s">
        <v>1616</v>
      </c>
      <c r="H237" s="3" t="s">
        <v>1617</v>
      </c>
      <c r="I237" s="3" t="s">
        <v>1618</v>
      </c>
      <c r="J237" s="9" t="s">
        <v>60</v>
      </c>
      <c r="K237" s="9" t="s">
        <v>1530</v>
      </c>
      <c r="L237" s="9" t="s">
        <v>1619</v>
      </c>
      <c r="M237" s="9" t="s">
        <v>784</v>
      </c>
      <c r="N237" s="9">
        <v>0</v>
      </c>
      <c r="O237" s="3"/>
      <c r="P237" s="3"/>
      <c r="Q237" s="12" t="str">
        <f>HYPERLINK("https://drive.google.com/file/d/1rWeo7UxSoYA89wKDKFH6M3gMSBVTmnwQ/view?usp=drive_link","Buka Dokumen")</f>
        <v>Buka Dokumen</v>
      </c>
      <c r="R237" s="15" t="s">
        <v>1620</v>
      </c>
    </row>
    <row r="238" spans="1:18" ht="126.75" customHeight="1">
      <c r="A238" s="6">
        <v>236</v>
      </c>
      <c r="B238" s="9" t="s">
        <v>1525</v>
      </c>
      <c r="C238" s="3"/>
      <c r="D238" s="3" t="s">
        <v>1153</v>
      </c>
      <c r="E238" s="3" t="s">
        <v>55</v>
      </c>
      <c r="F238" s="3" t="s">
        <v>148</v>
      </c>
      <c r="G238" s="3" t="s">
        <v>1621</v>
      </c>
      <c r="H238" s="3" t="s">
        <v>1622</v>
      </c>
      <c r="I238" s="3" t="s">
        <v>1623</v>
      </c>
      <c r="J238" s="9" t="s">
        <v>60</v>
      </c>
      <c r="K238" s="9" t="s">
        <v>1530</v>
      </c>
      <c r="L238" s="9" t="s">
        <v>1619</v>
      </c>
      <c r="M238" s="9" t="s">
        <v>784</v>
      </c>
      <c r="N238" s="9">
        <v>0</v>
      </c>
      <c r="O238" s="3"/>
      <c r="P238" s="3"/>
      <c r="Q238" s="12" t="str">
        <f>HYPERLINK("https://drive.google.com/file/d/17qSm_N12_T53SMH-wzwVQnqoEa_V1vxZ/view?usp=drive_link","Buka Dokumen")</f>
        <v>Buka Dokumen</v>
      </c>
      <c r="R238" s="15" t="s">
        <v>1624</v>
      </c>
    </row>
    <row r="239" spans="1:18" ht="126.75" customHeight="1">
      <c r="A239" s="6">
        <v>237</v>
      </c>
      <c r="B239" s="9" t="s">
        <v>1525</v>
      </c>
      <c r="C239" s="3"/>
      <c r="D239" s="3" t="s">
        <v>963</v>
      </c>
      <c r="E239" s="3" t="s">
        <v>21</v>
      </c>
      <c r="F239" s="3" t="s">
        <v>56</v>
      </c>
      <c r="G239" s="3"/>
      <c r="H239" s="3" t="s">
        <v>965</v>
      </c>
      <c r="I239" s="3"/>
      <c r="J239" s="9" t="s">
        <v>60</v>
      </c>
      <c r="K239" s="9" t="s">
        <v>1577</v>
      </c>
      <c r="L239" s="9" t="s">
        <v>1578</v>
      </c>
      <c r="M239" s="9" t="s">
        <v>784</v>
      </c>
      <c r="N239" s="9">
        <v>0</v>
      </c>
      <c r="O239" s="3"/>
      <c r="P239" s="3"/>
      <c r="Q239" s="12" t="str">
        <f>HYPERLINK("https://drive.google.com/file/d/1fGrRnlPbl_Qh_NrpDfWEOyQt4t9OaQBM/view?usp=drive_link","Buka Dokumen")</f>
        <v>Buka Dokumen</v>
      </c>
      <c r="R239" s="15" t="s">
        <v>1625</v>
      </c>
    </row>
    <row r="240" spans="1:18" ht="126.75" customHeight="1">
      <c r="A240" s="6">
        <v>238</v>
      </c>
      <c r="B240" s="9" t="s">
        <v>1525</v>
      </c>
      <c r="C240" s="3"/>
      <c r="D240" s="3" t="s">
        <v>1153</v>
      </c>
      <c r="E240" s="3" t="s">
        <v>35</v>
      </c>
      <c r="F240" s="3" t="s">
        <v>56</v>
      </c>
      <c r="G240" s="3" t="s">
        <v>1626</v>
      </c>
      <c r="H240" s="3" t="s">
        <v>1627</v>
      </c>
      <c r="I240" s="3" t="s">
        <v>1628</v>
      </c>
      <c r="J240" s="9" t="s">
        <v>60</v>
      </c>
      <c r="K240" s="9" t="s">
        <v>1530</v>
      </c>
      <c r="L240" s="9" t="s">
        <v>1619</v>
      </c>
      <c r="M240" s="9" t="s">
        <v>784</v>
      </c>
      <c r="N240" s="9">
        <v>0</v>
      </c>
      <c r="O240" s="3"/>
      <c r="P240" s="3"/>
      <c r="Q240" s="12" t="str">
        <f>HYPERLINK("https://drive.google.com/file/d/15HhIRKS7FMty_W-pYZpEMsWgZxrGBvQ3/view?usp=drive_link","Buka Dokumen")</f>
        <v>Buka Dokumen</v>
      </c>
      <c r="R240" s="15" t="s">
        <v>1629</v>
      </c>
    </row>
    <row r="241" spans="1:18" ht="126.75" customHeight="1">
      <c r="A241" s="6">
        <v>239</v>
      </c>
      <c r="B241" s="9" t="s">
        <v>1525</v>
      </c>
      <c r="C241" s="3"/>
      <c r="D241" s="3" t="s">
        <v>1153</v>
      </c>
      <c r="E241" s="3" t="s">
        <v>35</v>
      </c>
      <c r="F241" s="3" t="s">
        <v>56</v>
      </c>
      <c r="G241" s="3" t="s">
        <v>1626</v>
      </c>
      <c r="H241" s="3" t="s">
        <v>1627</v>
      </c>
      <c r="I241" s="3" t="s">
        <v>1628</v>
      </c>
      <c r="J241" s="9" t="s">
        <v>60</v>
      </c>
      <c r="K241" s="9" t="s">
        <v>1530</v>
      </c>
      <c r="L241" s="9" t="s">
        <v>1619</v>
      </c>
      <c r="M241" s="9" t="s">
        <v>784</v>
      </c>
      <c r="N241" s="9">
        <v>0</v>
      </c>
      <c r="O241" s="3"/>
      <c r="P241" s="3"/>
      <c r="Q241" s="12" t="str">
        <f>HYPERLINK("https://drive.google.com/file/d/1qwJGVEfMMLsNFOHFIwlA0nfZwd5gMX_M/view?usp=drive_link","Buka Dokumen")</f>
        <v>Buka Dokumen</v>
      </c>
      <c r="R241" s="15" t="s">
        <v>1630</v>
      </c>
    </row>
    <row r="242" spans="1:18" ht="126.75" customHeight="1">
      <c r="A242" s="6">
        <v>240</v>
      </c>
      <c r="B242" s="9" t="s">
        <v>18</v>
      </c>
      <c r="C242" s="3"/>
      <c r="D242" s="3" t="s">
        <v>243</v>
      </c>
      <c r="E242" s="3"/>
      <c r="F242" s="3"/>
      <c r="G242" s="3"/>
      <c r="H242" s="3"/>
      <c r="I242" s="3"/>
      <c r="J242" s="9"/>
      <c r="K242" s="9"/>
      <c r="L242" s="9"/>
      <c r="M242" s="9"/>
      <c r="N242" s="9">
        <v>0</v>
      </c>
      <c r="O242" s="3"/>
      <c r="P242" s="3"/>
      <c r="Q242" s="12" t="s">
        <v>198</v>
      </c>
      <c r="R242" s="15"/>
    </row>
    <row r="243" spans="1:18" ht="126.75" customHeight="1">
      <c r="A243" s="6">
        <v>241</v>
      </c>
      <c r="B243" s="9" t="s">
        <v>18</v>
      </c>
      <c r="C243" s="3"/>
      <c r="D243" s="3" t="s">
        <v>1631</v>
      </c>
      <c r="E243" s="3"/>
      <c r="F243" s="3"/>
      <c r="G243" s="3"/>
      <c r="H243" s="3"/>
      <c r="I243" s="3"/>
      <c r="J243" s="9"/>
      <c r="K243" s="9"/>
      <c r="L243" s="9"/>
      <c r="M243" s="9"/>
      <c r="N243" s="9">
        <v>0</v>
      </c>
      <c r="O243" s="3"/>
      <c r="P243" s="3"/>
      <c r="Q243" s="12" t="s">
        <v>198</v>
      </c>
      <c r="R243" s="15"/>
    </row>
    <row r="244" spans="1:18" ht="126.75" customHeight="1">
      <c r="A244" s="6">
        <v>242</v>
      </c>
      <c r="B244" s="9" t="s">
        <v>18</v>
      </c>
      <c r="C244" s="3"/>
      <c r="D244" s="3" t="s">
        <v>1632</v>
      </c>
      <c r="E244" s="3"/>
      <c r="F244" s="3"/>
      <c r="G244" s="3"/>
      <c r="H244" s="3"/>
      <c r="I244" s="3"/>
      <c r="J244" s="9"/>
      <c r="K244" s="9"/>
      <c r="L244" s="9"/>
      <c r="M244" s="9"/>
      <c r="N244" s="9">
        <v>0</v>
      </c>
      <c r="O244" s="3"/>
      <c r="P244" s="3"/>
      <c r="Q244" s="12" t="s">
        <v>198</v>
      </c>
      <c r="R244" s="15"/>
    </row>
    <row r="245" spans="1:18" ht="126.75" customHeight="1">
      <c r="A245" s="6">
        <v>243</v>
      </c>
      <c r="B245" s="9" t="s">
        <v>18</v>
      </c>
      <c r="C245" s="3"/>
      <c r="D245" s="3" t="s">
        <v>1633</v>
      </c>
      <c r="E245" s="3"/>
      <c r="F245" s="3"/>
      <c r="G245" s="3"/>
      <c r="H245" s="3"/>
      <c r="I245" s="3"/>
      <c r="J245" s="9"/>
      <c r="K245" s="9"/>
      <c r="L245" s="9"/>
      <c r="M245" s="9"/>
      <c r="N245" s="9">
        <v>0</v>
      </c>
      <c r="O245" s="3"/>
      <c r="P245" s="3"/>
      <c r="Q245" s="12" t="s">
        <v>198</v>
      </c>
      <c r="R245" s="15"/>
    </row>
    <row r="246" spans="1:18" ht="126.75" customHeight="1">
      <c r="A246" s="6">
        <v>244</v>
      </c>
      <c r="B246" s="9" t="s">
        <v>1634</v>
      </c>
      <c r="C246" s="3" t="s">
        <v>33</v>
      </c>
      <c r="D246" s="3" t="s">
        <v>1635</v>
      </c>
      <c r="E246" s="3" t="s">
        <v>35</v>
      </c>
      <c r="F246" s="3" t="s">
        <v>22</v>
      </c>
      <c r="G246" s="3" t="s">
        <v>1636</v>
      </c>
      <c r="H246" s="3" t="s">
        <v>1637</v>
      </c>
      <c r="I246" s="3" t="s">
        <v>1638</v>
      </c>
      <c r="J246" s="9" t="s">
        <v>39</v>
      </c>
      <c r="K246" s="9" t="s">
        <v>1639</v>
      </c>
      <c r="L246" s="9" t="s">
        <v>1640</v>
      </c>
      <c r="M246" s="9" t="s">
        <v>29</v>
      </c>
      <c r="N246" s="9">
        <v>6</v>
      </c>
      <c r="O246" s="3" t="s">
        <v>1641</v>
      </c>
      <c r="P246" s="3" t="s">
        <v>1642</v>
      </c>
      <c r="Q246" s="12" t="s">
        <v>198</v>
      </c>
      <c r="R246" s="15"/>
    </row>
    <row r="247" spans="1:18" ht="126.75" customHeight="1">
      <c r="A247" s="6">
        <v>245</v>
      </c>
      <c r="B247" s="9" t="s">
        <v>1634</v>
      </c>
      <c r="C247" s="3" t="s">
        <v>33</v>
      </c>
      <c r="D247" s="3" t="s">
        <v>1643</v>
      </c>
      <c r="E247" s="3" t="s">
        <v>35</v>
      </c>
      <c r="F247" s="3" t="s">
        <v>22</v>
      </c>
      <c r="G247" s="3" t="s">
        <v>1644</v>
      </c>
      <c r="H247" s="3" t="s">
        <v>1269</v>
      </c>
      <c r="I247" s="3" t="s">
        <v>1645</v>
      </c>
      <c r="J247" s="9" t="s">
        <v>26</v>
      </c>
      <c r="K247" s="9" t="s">
        <v>1646</v>
      </c>
      <c r="L247" s="9" t="s">
        <v>1647</v>
      </c>
      <c r="M247" s="9" t="s">
        <v>29</v>
      </c>
      <c r="N247" s="9">
        <v>6</v>
      </c>
      <c r="O247" s="3" t="s">
        <v>1648</v>
      </c>
      <c r="P247" s="3" t="s">
        <v>1642</v>
      </c>
      <c r="Q247" s="12" t="s">
        <v>198</v>
      </c>
      <c r="R247" s="15"/>
    </row>
    <row r="248" spans="1:18" ht="126.75" customHeight="1">
      <c r="A248" s="6">
        <v>246</v>
      </c>
      <c r="B248" s="9" t="s">
        <v>1634</v>
      </c>
      <c r="C248" s="3" t="s">
        <v>33</v>
      </c>
      <c r="D248" s="3" t="s">
        <v>1649</v>
      </c>
      <c r="E248" s="3" t="s">
        <v>35</v>
      </c>
      <c r="F248" s="3" t="s">
        <v>1115</v>
      </c>
      <c r="G248" s="3" t="s">
        <v>1650</v>
      </c>
      <c r="H248" s="3" t="s">
        <v>22</v>
      </c>
      <c r="I248" s="3" t="s">
        <v>1651</v>
      </c>
      <c r="J248" s="9" t="s">
        <v>26</v>
      </c>
      <c r="K248" s="9" t="s">
        <v>1652</v>
      </c>
      <c r="L248" s="9" t="s">
        <v>1653</v>
      </c>
      <c r="M248" s="9" t="s">
        <v>29</v>
      </c>
      <c r="N248" s="9">
        <v>7</v>
      </c>
      <c r="O248" s="3" t="s">
        <v>1654</v>
      </c>
      <c r="P248" s="3" t="s">
        <v>1655</v>
      </c>
      <c r="Q248" s="12" t="s">
        <v>198</v>
      </c>
      <c r="R248" s="15"/>
    </row>
    <row r="249" spans="1:18" ht="126.75" customHeight="1">
      <c r="A249" s="6">
        <v>247</v>
      </c>
      <c r="B249" s="9" t="s">
        <v>1634</v>
      </c>
      <c r="C249" s="3" t="s">
        <v>33</v>
      </c>
      <c r="D249" s="3" t="s">
        <v>1656</v>
      </c>
      <c r="E249" s="3" t="s">
        <v>35</v>
      </c>
      <c r="F249" s="3" t="s">
        <v>22</v>
      </c>
      <c r="G249" s="3" t="s">
        <v>1657</v>
      </c>
      <c r="H249" s="3" t="s">
        <v>1658</v>
      </c>
      <c r="I249" s="3" t="s">
        <v>1659</v>
      </c>
      <c r="J249" s="9" t="s">
        <v>26</v>
      </c>
      <c r="K249" s="9" t="s">
        <v>1652</v>
      </c>
      <c r="L249" s="9" t="s">
        <v>1653</v>
      </c>
      <c r="M249" s="9" t="s">
        <v>29</v>
      </c>
      <c r="N249" s="9">
        <v>6</v>
      </c>
      <c r="O249" s="3" t="s">
        <v>1660</v>
      </c>
      <c r="P249" s="3" t="s">
        <v>1642</v>
      </c>
      <c r="Q249" s="12" t="s">
        <v>198</v>
      </c>
      <c r="R249" s="15"/>
    </row>
    <row r="250" spans="1:18" ht="126.75" customHeight="1">
      <c r="A250" s="6">
        <v>248</v>
      </c>
      <c r="B250" s="9" t="s">
        <v>1634</v>
      </c>
      <c r="C250" s="3" t="s">
        <v>33</v>
      </c>
      <c r="D250" s="3" t="s">
        <v>1661</v>
      </c>
      <c r="E250" s="3" t="s">
        <v>35</v>
      </c>
      <c r="F250" s="3" t="s">
        <v>22</v>
      </c>
      <c r="G250" s="3" t="s">
        <v>1662</v>
      </c>
      <c r="H250" s="3" t="s">
        <v>1663</v>
      </c>
      <c r="I250" s="3" t="s">
        <v>1664</v>
      </c>
      <c r="J250" s="9" t="s">
        <v>39</v>
      </c>
      <c r="K250" s="9" t="s">
        <v>1665</v>
      </c>
      <c r="L250" s="9" t="s">
        <v>1666</v>
      </c>
      <c r="M250" s="9" t="s">
        <v>29</v>
      </c>
      <c r="N250" s="9">
        <v>6</v>
      </c>
      <c r="O250" s="3" t="s">
        <v>1667</v>
      </c>
      <c r="P250" s="3" t="s">
        <v>1642</v>
      </c>
      <c r="Q250" s="12" t="s">
        <v>198</v>
      </c>
      <c r="R250" s="15"/>
    </row>
    <row r="251" spans="1:18" ht="126.75" customHeight="1">
      <c r="A251" s="6">
        <v>249</v>
      </c>
      <c r="B251" s="9" t="s">
        <v>1634</v>
      </c>
      <c r="C251" s="3" t="s">
        <v>33</v>
      </c>
      <c r="D251" s="3" t="s">
        <v>1668</v>
      </c>
      <c r="E251" s="3" t="s">
        <v>55</v>
      </c>
      <c r="F251" s="3" t="s">
        <v>56</v>
      </c>
      <c r="G251" s="3" t="s">
        <v>1669</v>
      </c>
      <c r="H251" s="3" t="s">
        <v>1670</v>
      </c>
      <c r="I251" s="3" t="s">
        <v>1671</v>
      </c>
      <c r="J251" s="9" t="s">
        <v>26</v>
      </c>
      <c r="K251" s="9" t="s">
        <v>1672</v>
      </c>
      <c r="L251" s="9" t="s">
        <v>1673</v>
      </c>
      <c r="M251" s="9" t="s">
        <v>29</v>
      </c>
      <c r="N251" s="9">
        <v>2</v>
      </c>
      <c r="O251" s="3" t="s">
        <v>1674</v>
      </c>
      <c r="P251" s="3" t="s">
        <v>1675</v>
      </c>
      <c r="Q251" s="12" t="s">
        <v>198</v>
      </c>
      <c r="R251" s="15"/>
    </row>
    <row r="252" spans="1:18" ht="126.75" customHeight="1">
      <c r="A252" s="6">
        <v>250</v>
      </c>
      <c r="B252" s="9" t="s">
        <v>1634</v>
      </c>
      <c r="C252" s="3" t="s">
        <v>33</v>
      </c>
      <c r="D252" s="3" t="s">
        <v>666</v>
      </c>
      <c r="E252" s="3" t="s">
        <v>1676</v>
      </c>
      <c r="F252" s="3" t="s">
        <v>22</v>
      </c>
      <c r="G252" s="3" t="s">
        <v>1677</v>
      </c>
      <c r="H252" s="3" t="s">
        <v>1678</v>
      </c>
      <c r="I252" s="3" t="s">
        <v>1679</v>
      </c>
      <c r="J252" s="9" t="s">
        <v>26</v>
      </c>
      <c r="K252" s="9" t="s">
        <v>670</v>
      </c>
      <c r="L252" s="9" t="s">
        <v>671</v>
      </c>
      <c r="M252" s="9" t="s">
        <v>29</v>
      </c>
      <c r="N252" s="9">
        <v>7</v>
      </c>
      <c r="O252" s="3" t="s">
        <v>1680</v>
      </c>
      <c r="P252" s="3" t="s">
        <v>1655</v>
      </c>
      <c r="Q252" s="12" t="s">
        <v>198</v>
      </c>
      <c r="R252" s="15"/>
    </row>
    <row r="253" spans="1:18" ht="126.75" customHeight="1">
      <c r="A253" s="7">
        <v>251</v>
      </c>
      <c r="B253" s="10" t="s">
        <v>1634</v>
      </c>
      <c r="C253" s="4" t="s">
        <v>33</v>
      </c>
      <c r="D253" s="4" t="s">
        <v>196</v>
      </c>
      <c r="E253" s="4" t="s">
        <v>21</v>
      </c>
      <c r="F253" s="4" t="s">
        <v>22</v>
      </c>
      <c r="G253" s="4" t="s">
        <v>1681</v>
      </c>
      <c r="H253" s="4" t="s">
        <v>1682</v>
      </c>
      <c r="I253" s="4" t="s">
        <v>1683</v>
      </c>
      <c r="J253" s="10" t="s">
        <v>26</v>
      </c>
      <c r="K253" s="10"/>
      <c r="L253" s="10"/>
      <c r="M253" s="10" t="s">
        <v>29</v>
      </c>
      <c r="N253" s="10">
        <v>6</v>
      </c>
      <c r="O253" s="4" t="s">
        <v>1684</v>
      </c>
      <c r="P253" s="4" t="s">
        <v>1642</v>
      </c>
      <c r="Q253" s="13" t="s">
        <v>198</v>
      </c>
      <c r="R253" s="16"/>
    </row>
    <row r="254" spans="1:18" ht="126.75" customHeight="1"/>
    <row r="255" spans="1:18" ht="126.75" customHeight="1"/>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workbookViewId="0"/>
  </sheetViews>
  <sheetFormatPr baseColWidth="10" defaultColWidth="8.83203125" defaultRowHeight="14"/>
  <cols>
    <col min="1" max="2" width="34" customWidth="1"/>
    <col min="4" max="5" width="28" customWidth="1"/>
    <col min="7" max="8" width="28" customWidth="1"/>
    <col min="10" max="11" width="28" customWidth="1"/>
  </cols>
  <sheetData>
    <row r="1" spans="1:11" ht="16">
      <c r="A1" s="1" t="s">
        <v>1685</v>
      </c>
      <c r="B1" s="1" t="s">
        <v>1686</v>
      </c>
      <c r="D1" s="1" t="s">
        <v>4</v>
      </c>
      <c r="E1" s="1" t="s">
        <v>1687</v>
      </c>
      <c r="G1" s="1" t="s">
        <v>2</v>
      </c>
      <c r="H1" s="1" t="s">
        <v>1687</v>
      </c>
      <c r="J1" s="1" t="s">
        <v>12</v>
      </c>
      <c r="K1" s="1" t="s">
        <v>1687</v>
      </c>
    </row>
    <row r="2" spans="1:11">
      <c r="A2" t="s">
        <v>1688</v>
      </c>
      <c r="B2">
        <v>251</v>
      </c>
      <c r="D2" t="s">
        <v>55</v>
      </c>
      <c r="E2">
        <v>99</v>
      </c>
      <c r="G2" t="s">
        <v>1689</v>
      </c>
      <c r="H2">
        <v>129</v>
      </c>
      <c r="J2" t="s">
        <v>29</v>
      </c>
      <c r="K2">
        <v>133</v>
      </c>
    </row>
    <row r="3" spans="1:11">
      <c r="A3" t="s">
        <v>1690</v>
      </c>
      <c r="B3">
        <v>458</v>
      </c>
      <c r="D3" t="s">
        <v>21</v>
      </c>
      <c r="E3">
        <v>70</v>
      </c>
      <c r="G3" t="s">
        <v>33</v>
      </c>
      <c r="H3">
        <v>55</v>
      </c>
      <c r="J3" t="s">
        <v>784</v>
      </c>
      <c r="K3">
        <v>101</v>
      </c>
    </row>
    <row r="4" spans="1:11">
      <c r="A4" t="s">
        <v>1691</v>
      </c>
      <c r="B4">
        <v>1.82</v>
      </c>
      <c r="D4" t="s">
        <v>35</v>
      </c>
      <c r="E4">
        <v>50</v>
      </c>
      <c r="G4" t="s">
        <v>93</v>
      </c>
      <c r="H4">
        <v>27</v>
      </c>
      <c r="J4" t="s">
        <v>1689</v>
      </c>
      <c r="K4">
        <v>12</v>
      </c>
    </row>
    <row r="5" spans="1:11">
      <c r="D5" t="s">
        <v>95</v>
      </c>
      <c r="E5">
        <v>19</v>
      </c>
      <c r="G5" t="s">
        <v>108</v>
      </c>
      <c r="H5">
        <v>14</v>
      </c>
      <c r="J5" t="s">
        <v>896</v>
      </c>
      <c r="K5">
        <v>4</v>
      </c>
    </row>
    <row r="6" spans="1:11">
      <c r="D6" t="s">
        <v>244</v>
      </c>
      <c r="E6">
        <v>8</v>
      </c>
      <c r="G6" t="s">
        <v>19</v>
      </c>
      <c r="H6">
        <v>13</v>
      </c>
      <c r="J6" t="s">
        <v>1026</v>
      </c>
      <c r="K6">
        <v>1</v>
      </c>
    </row>
    <row r="7" spans="1:11">
      <c r="D7" t="s">
        <v>1689</v>
      </c>
      <c r="E7">
        <v>4</v>
      </c>
      <c r="G7" t="s">
        <v>186</v>
      </c>
      <c r="H7">
        <v>9</v>
      </c>
    </row>
    <row r="8" spans="1:11">
      <c r="D8" t="s">
        <v>1676</v>
      </c>
      <c r="E8">
        <v>1</v>
      </c>
      <c r="G8" t="s">
        <v>242</v>
      </c>
      <c r="H8">
        <v>3</v>
      </c>
    </row>
    <row r="9" spans="1:11">
      <c r="G9" t="s">
        <v>118</v>
      </c>
      <c r="H9">
        <v>1</v>
      </c>
    </row>
    <row r="11" spans="1:11" ht="53.25" customHeight="1">
      <c r="A11" s="18" t="s">
        <v>1692</v>
      </c>
      <c r="B11" s="19"/>
      <c r="C11" s="19"/>
      <c r="D11" s="19"/>
      <c r="E11" s="19"/>
      <c r="F11" s="19"/>
      <c r="G11" s="19"/>
      <c r="H11" s="19"/>
      <c r="I11" s="19"/>
      <c r="J11" s="19"/>
      <c r="K11" s="19"/>
    </row>
  </sheetData>
  <mergeCells count="1">
    <mergeCell ref="A11:K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Per Aktivitas</vt:lpstr>
      <vt:lpstr>Ringkasan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Kemal Nichol</cp:lastModifiedBy>
  <dcterms:created xsi:type="dcterms:W3CDTF">2026-05-12T09:11:41Z</dcterms:created>
  <dcterms:modified xsi:type="dcterms:W3CDTF">2026-05-12T09:11:41Z</dcterms:modified>
</cp:coreProperties>
</file>